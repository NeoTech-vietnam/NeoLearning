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NeoLearning\outputs\01a0dcd9-cb9f-7013-88f7-57d31f4fab93\"/>
    </mc:Choice>
  </mc:AlternateContent>
  <xr:revisionPtr revIDLastSave="0" documentId="13_ncr:1_{AD04FE17-FEDF-4C9E-ADBB-804EEB30936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ReadMe" sheetId="2" r:id="rId2"/>
    <sheet name="CN-FR-DP" sheetId="3" r:id="rId3"/>
    <sheet name="Design Matrix" sheetId="4" r:id="rId4"/>
    <sheet name="Information" sheetId="5" r:id="rId5"/>
    <sheet name="Tree View" sheetId="6" r:id="rId6"/>
    <sheet name="Constraints" sheetId="7" r:id="rId7"/>
    <sheet name="Impact" sheetId="8" r:id="rId8"/>
    <sheet name="Checks" sheetId="9" r:id="rId9"/>
    <sheet name="Change Log" sheetId="10" r:id="rId10"/>
    <sheet name="Lists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4" i="5" l="1"/>
  <c r="G54" i="5"/>
  <c r="I54" i="5" s="1"/>
  <c r="E54" i="5"/>
  <c r="D54" i="5"/>
  <c r="C54" i="5"/>
  <c r="B54" i="5"/>
  <c r="A54" i="5"/>
  <c r="O54" i="5" s="1"/>
  <c r="H53" i="5"/>
  <c r="G53" i="5"/>
  <c r="I53" i="5" s="1"/>
  <c r="E53" i="5"/>
  <c r="D53" i="5"/>
  <c r="C53" i="5"/>
  <c r="B53" i="5"/>
  <c r="A53" i="5"/>
  <c r="O53" i="5" s="1"/>
  <c r="H52" i="5"/>
  <c r="G52" i="5"/>
  <c r="I52" i="5" s="1"/>
  <c r="E52" i="5"/>
  <c r="D52" i="5"/>
  <c r="C52" i="5"/>
  <c r="B52" i="5"/>
  <c r="A52" i="5"/>
  <c r="O52" i="5" s="1"/>
  <c r="H51" i="5"/>
  <c r="G51" i="5"/>
  <c r="I51" i="5" s="1"/>
  <c r="E51" i="5"/>
  <c r="D51" i="5"/>
  <c r="C51" i="5"/>
  <c r="B51" i="5"/>
  <c r="A51" i="5"/>
  <c r="O51" i="5" s="1"/>
  <c r="H50" i="5"/>
  <c r="G50" i="5"/>
  <c r="I50" i="5" s="1"/>
  <c r="E50" i="5"/>
  <c r="D50" i="5"/>
  <c r="C50" i="5"/>
  <c r="B50" i="5"/>
  <c r="A50" i="5"/>
  <c r="O50" i="5" s="1"/>
  <c r="H49" i="5"/>
  <c r="G49" i="5"/>
  <c r="I49" i="5" s="1"/>
  <c r="E49" i="5"/>
  <c r="D49" i="5"/>
  <c r="C49" i="5"/>
  <c r="B49" i="5"/>
  <c r="A49" i="5"/>
  <c r="O49" i="5" s="1"/>
  <c r="H48" i="5"/>
  <c r="G48" i="5"/>
  <c r="I48" i="5" s="1"/>
  <c r="E48" i="5"/>
  <c r="D48" i="5"/>
  <c r="C48" i="5"/>
  <c r="B48" i="5"/>
  <c r="A48" i="5"/>
  <c r="O48" i="5" s="1"/>
  <c r="H47" i="5"/>
  <c r="G47" i="5"/>
  <c r="I47" i="5" s="1"/>
  <c r="E47" i="5"/>
  <c r="D47" i="5"/>
  <c r="C47" i="5"/>
  <c r="B47" i="5"/>
  <c r="A47" i="5"/>
  <c r="O47" i="5" s="1"/>
  <c r="H46" i="5"/>
  <c r="G46" i="5"/>
  <c r="E46" i="5"/>
  <c r="D46" i="5"/>
  <c r="C46" i="5"/>
  <c r="B46" i="5"/>
  <c r="A46" i="5"/>
  <c r="O46" i="5" s="1"/>
  <c r="H45" i="5"/>
  <c r="G45" i="5"/>
  <c r="I45" i="5" s="1"/>
  <c r="E45" i="5"/>
  <c r="D45" i="5"/>
  <c r="C45" i="5"/>
  <c r="B45" i="5"/>
  <c r="A45" i="5"/>
  <c r="O45" i="5" s="1"/>
  <c r="H44" i="5"/>
  <c r="G44" i="5"/>
  <c r="I44" i="5" s="1"/>
  <c r="E44" i="5"/>
  <c r="D44" i="5"/>
  <c r="C44" i="5"/>
  <c r="B44" i="5"/>
  <c r="A44" i="5"/>
  <c r="O44" i="5" s="1"/>
  <c r="H43" i="5"/>
  <c r="G43" i="5"/>
  <c r="I43" i="5" s="1"/>
  <c r="E43" i="5"/>
  <c r="D43" i="5"/>
  <c r="C43" i="5"/>
  <c r="B43" i="5"/>
  <c r="A43" i="5"/>
  <c r="O43" i="5" s="1"/>
  <c r="H42" i="5"/>
  <c r="G42" i="5"/>
  <c r="E42" i="5"/>
  <c r="D42" i="5"/>
  <c r="C42" i="5"/>
  <c r="B42" i="5"/>
  <c r="A42" i="5"/>
  <c r="O42" i="5" s="1"/>
  <c r="H41" i="5"/>
  <c r="G41" i="5"/>
  <c r="I41" i="5" s="1"/>
  <c r="E41" i="5"/>
  <c r="D41" i="5"/>
  <c r="C41" i="5"/>
  <c r="B41" i="5"/>
  <c r="A41" i="5"/>
  <c r="O41" i="5" s="1"/>
  <c r="H40" i="5"/>
  <c r="G40" i="5"/>
  <c r="I40" i="5" s="1"/>
  <c r="E40" i="5"/>
  <c r="D40" i="5"/>
  <c r="C40" i="5"/>
  <c r="B40" i="5"/>
  <c r="A40" i="5"/>
  <c r="O40" i="5" s="1"/>
  <c r="H39" i="5"/>
  <c r="G39" i="5"/>
  <c r="I39" i="5" s="1"/>
  <c r="E39" i="5"/>
  <c r="D39" i="5"/>
  <c r="C39" i="5"/>
  <c r="B39" i="5"/>
  <c r="A39" i="5"/>
  <c r="O39" i="5" s="1"/>
  <c r="H38" i="5"/>
  <c r="G38" i="5"/>
  <c r="I38" i="5" s="1"/>
  <c r="E38" i="5"/>
  <c r="D38" i="5"/>
  <c r="C38" i="5"/>
  <c r="B38" i="5"/>
  <c r="A38" i="5"/>
  <c r="O38" i="5" s="1"/>
  <c r="H37" i="5"/>
  <c r="G37" i="5"/>
  <c r="I37" i="5" s="1"/>
  <c r="E37" i="5"/>
  <c r="D37" i="5"/>
  <c r="C37" i="5"/>
  <c r="B37" i="5"/>
  <c r="A37" i="5"/>
  <c r="O37" i="5" s="1"/>
  <c r="H36" i="5"/>
  <c r="G36" i="5"/>
  <c r="I36" i="5" s="1"/>
  <c r="E36" i="5"/>
  <c r="D36" i="5"/>
  <c r="C36" i="5"/>
  <c r="B36" i="5"/>
  <c r="A36" i="5"/>
  <c r="O36" i="5" s="1"/>
  <c r="H35" i="5"/>
  <c r="G35" i="5"/>
  <c r="I35" i="5" s="1"/>
  <c r="E35" i="5"/>
  <c r="D35" i="5"/>
  <c r="C35" i="5"/>
  <c r="B35" i="5"/>
  <c r="A35" i="5"/>
  <c r="O35" i="5" s="1"/>
  <c r="H34" i="5"/>
  <c r="G34" i="5"/>
  <c r="I34" i="5" s="1"/>
  <c r="E34" i="5"/>
  <c r="D34" i="5"/>
  <c r="C34" i="5"/>
  <c r="B34" i="5"/>
  <c r="A34" i="5"/>
  <c r="O34" i="5" s="1"/>
  <c r="H33" i="5"/>
  <c r="G33" i="5"/>
  <c r="I33" i="5" s="1"/>
  <c r="E33" i="5"/>
  <c r="D33" i="5"/>
  <c r="C33" i="5"/>
  <c r="B33" i="5"/>
  <c r="A33" i="5"/>
  <c r="O33" i="5" s="1"/>
  <c r="H32" i="5"/>
  <c r="G32" i="5"/>
  <c r="I32" i="5" s="1"/>
  <c r="E32" i="5"/>
  <c r="D32" i="5"/>
  <c r="C32" i="5"/>
  <c r="B32" i="5"/>
  <c r="A32" i="5"/>
  <c r="O32" i="5" s="1"/>
  <c r="H31" i="5"/>
  <c r="G31" i="5"/>
  <c r="I31" i="5" s="1"/>
  <c r="E31" i="5"/>
  <c r="D31" i="5"/>
  <c r="C31" i="5"/>
  <c r="B31" i="5"/>
  <c r="A31" i="5"/>
  <c r="O31" i="5" s="1"/>
  <c r="H30" i="5"/>
  <c r="G30" i="5"/>
  <c r="E30" i="5"/>
  <c r="D30" i="5"/>
  <c r="C30" i="5"/>
  <c r="B30" i="5"/>
  <c r="A30" i="5"/>
  <c r="O30" i="5" s="1"/>
  <c r="H29" i="5"/>
  <c r="G29" i="5"/>
  <c r="E29" i="5"/>
  <c r="D29" i="5"/>
  <c r="C29" i="5"/>
  <c r="B29" i="5"/>
  <c r="A29" i="5"/>
  <c r="O29" i="5" s="1"/>
  <c r="H28" i="5"/>
  <c r="G28" i="5"/>
  <c r="I28" i="5" s="1"/>
  <c r="E28" i="5"/>
  <c r="D28" i="5"/>
  <c r="C28" i="5"/>
  <c r="B28" i="5"/>
  <c r="A28" i="5"/>
  <c r="O28" i="5" s="1"/>
  <c r="H27" i="5"/>
  <c r="G27" i="5"/>
  <c r="E27" i="5"/>
  <c r="D27" i="5"/>
  <c r="C27" i="5"/>
  <c r="B27" i="5"/>
  <c r="A27" i="5"/>
  <c r="O27" i="5" s="1"/>
  <c r="H26" i="5"/>
  <c r="G26" i="5"/>
  <c r="I26" i="5" s="1"/>
  <c r="E26" i="5"/>
  <c r="D26" i="5"/>
  <c r="C26" i="5"/>
  <c r="B26" i="5"/>
  <c r="A26" i="5"/>
  <c r="O26" i="5" s="1"/>
  <c r="H25" i="5"/>
  <c r="G25" i="5"/>
  <c r="E25" i="5"/>
  <c r="D25" i="5"/>
  <c r="C25" i="5"/>
  <c r="B25" i="5"/>
  <c r="A25" i="5"/>
  <c r="O25" i="5" s="1"/>
  <c r="H24" i="5"/>
  <c r="G24" i="5"/>
  <c r="I24" i="5" s="1"/>
  <c r="E24" i="5"/>
  <c r="D24" i="5"/>
  <c r="C24" i="5"/>
  <c r="B24" i="5"/>
  <c r="A24" i="5"/>
  <c r="O24" i="5" s="1"/>
  <c r="H23" i="5"/>
  <c r="G23" i="5"/>
  <c r="E23" i="5"/>
  <c r="D23" i="5"/>
  <c r="C23" i="5"/>
  <c r="B23" i="5"/>
  <c r="A23" i="5"/>
  <c r="O23" i="5" s="1"/>
  <c r="H22" i="5"/>
  <c r="G22" i="5"/>
  <c r="E22" i="5"/>
  <c r="D22" i="5"/>
  <c r="C22" i="5"/>
  <c r="B22" i="5"/>
  <c r="A22" i="5"/>
  <c r="O22" i="5" s="1"/>
  <c r="H21" i="5"/>
  <c r="G21" i="5"/>
  <c r="E21" i="5"/>
  <c r="D21" i="5"/>
  <c r="C21" i="5"/>
  <c r="B21" i="5"/>
  <c r="A21" i="5"/>
  <c r="O21" i="5" s="1"/>
  <c r="H20" i="5"/>
  <c r="G20" i="5"/>
  <c r="I20" i="5" s="1"/>
  <c r="E20" i="5"/>
  <c r="D20" i="5"/>
  <c r="C20" i="5"/>
  <c r="B20" i="5"/>
  <c r="A20" i="5"/>
  <c r="O20" i="5" s="1"/>
  <c r="H19" i="5"/>
  <c r="G19" i="5"/>
  <c r="I19" i="5" s="1"/>
  <c r="E19" i="5"/>
  <c r="D19" i="5"/>
  <c r="C19" i="5"/>
  <c r="B19" i="5"/>
  <c r="A19" i="5"/>
  <c r="O19" i="5" s="1"/>
  <c r="H18" i="5"/>
  <c r="G18" i="5"/>
  <c r="I18" i="5" s="1"/>
  <c r="E18" i="5"/>
  <c r="D18" i="5"/>
  <c r="C18" i="5"/>
  <c r="B18" i="5"/>
  <c r="A18" i="5"/>
  <c r="O18" i="5" s="1"/>
  <c r="H17" i="5"/>
  <c r="G17" i="5"/>
  <c r="E17" i="5"/>
  <c r="D17" i="5"/>
  <c r="F17" i="5" s="1"/>
  <c r="C17" i="5"/>
  <c r="B17" i="5"/>
  <c r="A17" i="5"/>
  <c r="H16" i="5"/>
  <c r="G16" i="5"/>
  <c r="I16" i="5" s="1"/>
  <c r="E16" i="5"/>
  <c r="D16" i="5"/>
  <c r="C16" i="5"/>
  <c r="B16" i="5"/>
  <c r="A16" i="5"/>
  <c r="O16" i="5" s="1"/>
  <c r="H15" i="5"/>
  <c r="G15" i="5"/>
  <c r="I15" i="5" s="1"/>
  <c r="E15" i="5"/>
  <c r="D15" i="5"/>
  <c r="C15" i="5"/>
  <c r="B15" i="5"/>
  <c r="A15" i="5"/>
  <c r="O15" i="5" s="1"/>
  <c r="H14" i="5"/>
  <c r="G14" i="5"/>
  <c r="E14" i="5"/>
  <c r="D14" i="5"/>
  <c r="C14" i="5"/>
  <c r="B14" i="5"/>
  <c r="A14" i="5"/>
  <c r="O14" i="5" s="1"/>
  <c r="H13" i="5"/>
  <c r="G13" i="5"/>
  <c r="I13" i="5" s="1"/>
  <c r="E13" i="5"/>
  <c r="D13" i="5"/>
  <c r="C13" i="5"/>
  <c r="B13" i="5"/>
  <c r="A13" i="5"/>
  <c r="H12" i="5"/>
  <c r="G12" i="5"/>
  <c r="I12" i="5" s="1"/>
  <c r="E12" i="5"/>
  <c r="D12" i="5"/>
  <c r="C12" i="5"/>
  <c r="B12" i="5"/>
  <c r="A12" i="5"/>
  <c r="O12" i="5" s="1"/>
  <c r="H11" i="5"/>
  <c r="G11" i="5"/>
  <c r="I11" i="5" s="1"/>
  <c r="E11" i="5"/>
  <c r="D11" i="5"/>
  <c r="C11" i="5"/>
  <c r="B11" i="5"/>
  <c r="A11" i="5"/>
  <c r="H10" i="5"/>
  <c r="G10" i="5"/>
  <c r="I10" i="5" s="1"/>
  <c r="E10" i="5"/>
  <c r="D10" i="5"/>
  <c r="C10" i="5"/>
  <c r="B10" i="5"/>
  <c r="A10" i="5"/>
  <c r="H9" i="5"/>
  <c r="G9" i="5"/>
  <c r="E9" i="5"/>
  <c r="D9" i="5"/>
  <c r="C9" i="5"/>
  <c r="B9" i="5"/>
  <c r="A9" i="5"/>
  <c r="H8" i="5"/>
  <c r="G8" i="5"/>
  <c r="I8" i="5" s="1"/>
  <c r="E8" i="5"/>
  <c r="D8" i="5"/>
  <c r="C8" i="5"/>
  <c r="B8" i="5"/>
  <c r="A8" i="5"/>
  <c r="O8" i="5" s="1"/>
  <c r="H7" i="5"/>
  <c r="G7" i="5"/>
  <c r="E7" i="5"/>
  <c r="D7" i="5"/>
  <c r="C7" i="5"/>
  <c r="B7" i="5"/>
  <c r="A7" i="5"/>
  <c r="O7" i="5" s="1"/>
  <c r="H6" i="5"/>
  <c r="G6" i="5"/>
  <c r="I6" i="5" s="1"/>
  <c r="E6" i="5"/>
  <c r="D6" i="5"/>
  <c r="C6" i="5"/>
  <c r="B6" i="5"/>
  <c r="A6" i="5"/>
  <c r="O6" i="5" s="1"/>
  <c r="H5" i="5"/>
  <c r="G5" i="5"/>
  <c r="E5" i="5"/>
  <c r="D5" i="5"/>
  <c r="C5" i="5"/>
  <c r="B5" i="5"/>
  <c r="A5" i="5"/>
  <c r="B7" i="1"/>
  <c r="B6" i="1"/>
  <c r="B5" i="1"/>
  <c r="I25" i="5" l="1"/>
  <c r="I14" i="5"/>
  <c r="K46" i="5"/>
  <c r="I22" i="5"/>
  <c r="O11" i="5"/>
  <c r="I21" i="5"/>
  <c r="O10" i="5"/>
  <c r="I27" i="5"/>
  <c r="O9" i="5"/>
  <c r="I30" i="5"/>
  <c r="I29" i="5"/>
  <c r="I46" i="5"/>
  <c r="F42" i="5"/>
  <c r="F21" i="5"/>
  <c r="I7" i="5"/>
  <c r="I23" i="5"/>
  <c r="I9" i="5"/>
  <c r="J21" i="5"/>
  <c r="K21" i="5"/>
  <c r="I5" i="5"/>
  <c r="K54" i="5"/>
  <c r="J54" i="5"/>
  <c r="L54" i="5" s="1"/>
  <c r="F54" i="5"/>
  <c r="K53" i="5"/>
  <c r="J53" i="5"/>
  <c r="L53" i="5" s="1"/>
  <c r="F53" i="5"/>
  <c r="K52" i="5"/>
  <c r="J52" i="5"/>
  <c r="L52" i="5" s="1"/>
  <c r="F52" i="5"/>
  <c r="K51" i="5"/>
  <c r="J51" i="5"/>
  <c r="F51" i="5"/>
  <c r="K50" i="5"/>
  <c r="J50" i="5"/>
  <c r="L50" i="5" s="1"/>
  <c r="F50" i="5"/>
  <c r="M50" i="5" s="1"/>
  <c r="N50" i="5" s="1"/>
  <c r="F49" i="5"/>
  <c r="K49" i="5"/>
  <c r="J49" i="5"/>
  <c r="L49" i="5" s="1"/>
  <c r="K48" i="5"/>
  <c r="J48" i="5"/>
  <c r="F48" i="5"/>
  <c r="F47" i="5"/>
  <c r="J47" i="5"/>
  <c r="K47" i="5"/>
  <c r="J46" i="5"/>
  <c r="F46" i="5"/>
  <c r="K45" i="5"/>
  <c r="J45" i="5"/>
  <c r="F45" i="5"/>
  <c r="K44" i="5"/>
  <c r="J44" i="5"/>
  <c r="F44" i="5"/>
  <c r="K43" i="5"/>
  <c r="J43" i="5"/>
  <c r="L43" i="5" s="1"/>
  <c r="F43" i="5"/>
  <c r="I42" i="5"/>
  <c r="K42" i="5"/>
  <c r="J42" i="5"/>
  <c r="K41" i="5"/>
  <c r="J41" i="5"/>
  <c r="L41" i="5" s="1"/>
  <c r="F41" i="5"/>
  <c r="J40" i="5"/>
  <c r="K40" i="5"/>
  <c r="F40" i="5"/>
  <c r="K39" i="5"/>
  <c r="J39" i="5"/>
  <c r="F39" i="5"/>
  <c r="J38" i="5"/>
  <c r="K38" i="5"/>
  <c r="F38" i="5"/>
  <c r="K37" i="5"/>
  <c r="J37" i="5"/>
  <c r="F37" i="5"/>
  <c r="K36" i="5"/>
  <c r="J36" i="5"/>
  <c r="F36" i="5"/>
  <c r="K35" i="5"/>
  <c r="J35" i="5"/>
  <c r="L35" i="5" s="1"/>
  <c r="F35" i="5"/>
  <c r="M35" i="5" s="1"/>
  <c r="N35" i="5" s="1"/>
  <c r="J34" i="5"/>
  <c r="K34" i="5"/>
  <c r="F34" i="5"/>
  <c r="J33" i="5"/>
  <c r="K33" i="5"/>
  <c r="F33" i="5"/>
  <c r="K32" i="5"/>
  <c r="J32" i="5"/>
  <c r="F32" i="5"/>
  <c r="F31" i="5"/>
  <c r="J31" i="5"/>
  <c r="K31" i="5"/>
  <c r="J30" i="5"/>
  <c r="F30" i="5"/>
  <c r="K30" i="5"/>
  <c r="K29" i="5"/>
  <c r="J29" i="5"/>
  <c r="L29" i="5" s="1"/>
  <c r="F29" i="5"/>
  <c r="K28" i="5"/>
  <c r="J28" i="5"/>
  <c r="L28" i="5" s="1"/>
  <c r="F28" i="5"/>
  <c r="K27" i="5"/>
  <c r="J27" i="5"/>
  <c r="L27" i="5" s="1"/>
  <c r="F27" i="5"/>
  <c r="M27" i="5" s="1"/>
  <c r="N27" i="5" s="1"/>
  <c r="J26" i="5"/>
  <c r="K26" i="5"/>
  <c r="F26" i="5"/>
  <c r="K25" i="5"/>
  <c r="J25" i="5"/>
  <c r="L25" i="5" s="1"/>
  <c r="F25" i="5"/>
  <c r="J24" i="5"/>
  <c r="F24" i="5"/>
  <c r="K24" i="5"/>
  <c r="F23" i="5"/>
  <c r="J23" i="5"/>
  <c r="K23" i="5"/>
  <c r="F22" i="5"/>
  <c r="K22" i="5"/>
  <c r="J22" i="5"/>
  <c r="K20" i="5"/>
  <c r="J20" i="5"/>
  <c r="F20" i="5"/>
  <c r="J19" i="5"/>
  <c r="K19" i="5"/>
  <c r="F19" i="5"/>
  <c r="F18" i="5"/>
  <c r="K18" i="5"/>
  <c r="J18" i="5"/>
  <c r="L18" i="5" s="1"/>
  <c r="J17" i="5"/>
  <c r="O17" i="5"/>
  <c r="K17" i="5"/>
  <c r="I17" i="5"/>
  <c r="F16" i="5"/>
  <c r="K16" i="5"/>
  <c r="J16" i="5"/>
  <c r="L16" i="5" s="1"/>
  <c r="K15" i="5"/>
  <c r="J15" i="5"/>
  <c r="L15" i="5" s="1"/>
  <c r="F15" i="5"/>
  <c r="J14" i="5"/>
  <c r="F14" i="5"/>
  <c r="K14" i="5"/>
  <c r="O13" i="5"/>
  <c r="F13" i="5"/>
  <c r="J13" i="5"/>
  <c r="K13" i="5"/>
  <c r="F12" i="5"/>
  <c r="J12" i="5"/>
  <c r="K12" i="5"/>
  <c r="F11" i="5"/>
  <c r="J11" i="5"/>
  <c r="K11" i="5"/>
  <c r="J10" i="5"/>
  <c r="F10" i="5"/>
  <c r="K10" i="5"/>
  <c r="F9" i="5"/>
  <c r="K9" i="5"/>
  <c r="J9" i="5"/>
  <c r="L9" i="5" s="1"/>
  <c r="K8" i="5"/>
  <c r="J8" i="5"/>
  <c r="L8" i="5" s="1"/>
  <c r="F8" i="5"/>
  <c r="K7" i="5"/>
  <c r="J7" i="5"/>
  <c r="L7" i="5" s="1"/>
  <c r="F7" i="5"/>
  <c r="F6" i="5"/>
  <c r="K6" i="5"/>
  <c r="J6" i="5"/>
  <c r="L6" i="5" s="1"/>
  <c r="J5" i="5"/>
  <c r="K5" i="5"/>
  <c r="F5" i="5"/>
  <c r="M52" i="5" l="1"/>
  <c r="N52" i="5" s="1"/>
  <c r="L32" i="5"/>
  <c r="M7" i="5"/>
  <c r="N7" i="5" s="1"/>
  <c r="L36" i="5"/>
  <c r="M36" i="5" s="1"/>
  <c r="N36" i="5" s="1"/>
  <c r="L39" i="5"/>
  <c r="M39" i="5" s="1"/>
  <c r="N39" i="5" s="1"/>
  <c r="L51" i="5"/>
  <c r="M51" i="5" s="1"/>
  <c r="N51" i="5" s="1"/>
  <c r="L46" i="5"/>
  <c r="M46" i="5" s="1"/>
  <c r="N46" i="5" s="1"/>
  <c r="M32" i="5"/>
  <c r="N32" i="5" s="1"/>
  <c r="L21" i="5"/>
  <c r="M21" i="5" s="1"/>
  <c r="N21" i="5" s="1"/>
  <c r="L45" i="5"/>
  <c r="M45" i="5" s="1"/>
  <c r="N45" i="5" s="1"/>
  <c r="L44" i="5"/>
  <c r="M44" i="5" s="1"/>
  <c r="N44" i="5" s="1"/>
  <c r="M29" i="5"/>
  <c r="N29" i="5" s="1"/>
  <c r="L22" i="5"/>
  <c r="M22" i="5" s="1"/>
  <c r="N22" i="5" s="1"/>
  <c r="M53" i="5"/>
  <c r="N53" i="5" s="1"/>
  <c r="L48" i="5"/>
  <c r="M48" i="5" s="1"/>
  <c r="N48" i="5" s="1"/>
  <c r="L42" i="5"/>
  <c r="M42" i="5" s="1"/>
  <c r="N42" i="5" s="1"/>
  <c r="M41" i="5"/>
  <c r="N41" i="5" s="1"/>
  <c r="L40" i="5"/>
  <c r="M40" i="5" s="1"/>
  <c r="N40" i="5" s="1"/>
  <c r="L37" i="5"/>
  <c r="M37" i="5" s="1"/>
  <c r="N37" i="5" s="1"/>
  <c r="M28" i="5"/>
  <c r="N28" i="5" s="1"/>
  <c r="M54" i="5"/>
  <c r="N54" i="5" s="1"/>
  <c r="L38" i="5"/>
  <c r="M38" i="5" s="1"/>
  <c r="N38" i="5" s="1"/>
  <c r="L34" i="5"/>
  <c r="M34" i="5" s="1"/>
  <c r="N34" i="5" s="1"/>
  <c r="L31" i="5"/>
  <c r="M31" i="5" s="1"/>
  <c r="N31" i="5" s="1"/>
  <c r="L30" i="5"/>
  <c r="M30" i="5" s="1"/>
  <c r="N30" i="5" s="1"/>
  <c r="L24" i="5"/>
  <c r="M24" i="5" s="1"/>
  <c r="N24" i="5" s="1"/>
  <c r="L19" i="5"/>
  <c r="M19" i="5" s="1"/>
  <c r="N19" i="5" s="1"/>
  <c r="M16" i="5"/>
  <c r="N16" i="5" s="1"/>
  <c r="M15" i="5"/>
  <c r="N15" i="5" s="1"/>
  <c r="L33" i="5"/>
  <c r="M33" i="5" s="1"/>
  <c r="N33" i="5" s="1"/>
  <c r="M18" i="5"/>
  <c r="N18" i="5" s="1"/>
  <c r="L17" i="5"/>
  <c r="M17" i="5" s="1"/>
  <c r="N17" i="5" s="1"/>
  <c r="L12" i="5"/>
  <c r="M12" i="5" s="1"/>
  <c r="N12" i="5" s="1"/>
  <c r="L11" i="5"/>
  <c r="M11" i="5" s="1"/>
  <c r="N11" i="5" s="1"/>
  <c r="L26" i="5"/>
  <c r="M26" i="5" s="1"/>
  <c r="N26" i="5" s="1"/>
  <c r="M25" i="5"/>
  <c r="N25" i="5" s="1"/>
  <c r="L23" i="5"/>
  <c r="M23" i="5" s="1"/>
  <c r="N23" i="5" s="1"/>
  <c r="L20" i="5"/>
  <c r="M20" i="5" s="1"/>
  <c r="N20" i="5" s="1"/>
  <c r="L14" i="5"/>
  <c r="M14" i="5" s="1"/>
  <c r="N14" i="5" s="1"/>
  <c r="L13" i="5"/>
  <c r="M13" i="5" s="1"/>
  <c r="N13" i="5" s="1"/>
  <c r="L10" i="5"/>
  <c r="M10" i="5" s="1"/>
  <c r="N10" i="5" s="1"/>
  <c r="M9" i="5"/>
  <c r="N9" i="5" s="1"/>
  <c r="L47" i="5"/>
  <c r="M47" i="5" s="1"/>
  <c r="N47" i="5" s="1"/>
  <c r="M43" i="5"/>
  <c r="N43" i="5" s="1"/>
  <c r="M8" i="5"/>
  <c r="N8" i="5" s="1"/>
  <c r="M6" i="5"/>
  <c r="N6" i="5" s="1"/>
  <c r="L5" i="5"/>
  <c r="M5" i="5" s="1"/>
  <c r="M49" i="5"/>
  <c r="N49" i="5" s="1"/>
  <c r="N5" i="5" l="1"/>
  <c r="B10" i="1" s="1"/>
  <c r="O5" i="5"/>
</calcChain>
</file>

<file path=xl/sharedStrings.xml><?xml version="1.0" encoding="utf-8"?>
<sst xmlns="http://schemas.openxmlformats.org/spreadsheetml/2006/main" count="616" uniqueCount="340">
  <si>
    <t>Axiomatic Design Workbook</t>
  </si>
  <si>
    <t>Excel + VBA base toolkit for CN, FR, DP, coupling, information content, and controlled change</t>
  </si>
  <si>
    <t>Model rows</t>
  </si>
  <si>
    <t>Workflow</t>
  </si>
  <si>
    <t>Purpose</t>
  </si>
  <si>
    <t>Input</t>
  </si>
  <si>
    <t>Output</t>
  </si>
  <si>
    <t>Action</t>
  </si>
  <si>
    <t>Constraints</t>
  </si>
  <si>
    <t>1. Define</t>
  </si>
  <si>
    <t>Capture CN, FR, DP, ranges, and constraints</t>
  </si>
  <si>
    <t>CN-FR-DP</t>
  </si>
  <si>
    <t>Stable source model</t>
  </si>
  <si>
    <t>Edit yellow cells</t>
  </si>
  <si>
    <t>Matrix FR/DP pairs</t>
  </si>
  <si>
    <t>2. Decompose</t>
  </si>
  <si>
    <t>Link parent FR/DP pairs and zig-zag</t>
  </si>
  <si>
    <t>Parent IDs</t>
  </si>
  <si>
    <t>Tree View</t>
  </si>
  <si>
    <t>Refresh model</t>
  </si>
  <si>
    <t>Independence classification</t>
  </si>
  <si>
    <t>Coupled</t>
  </si>
  <si>
    <t>3. Analyze</t>
  </si>
  <si>
    <t>Evaluate independence and sequence</t>
  </si>
  <si>
    <t>Secondary DP IDs</t>
  </si>
  <si>
    <t>Design Matrix</t>
  </si>
  <si>
    <t>Design sequence</t>
  </si>
  <si>
    <t>Cycle detected - redesign or decompose</t>
  </si>
  <si>
    <t>4. Quantify</t>
  </si>
  <si>
    <t>Estimate probability and information</t>
  </si>
  <si>
    <t>Design/system ranges</t>
  </si>
  <si>
    <t>Information</t>
  </si>
  <si>
    <t>Review TBC inputs</t>
  </si>
  <si>
    <t>Total information content (bits)</t>
  </si>
  <si>
    <t>5. Check</t>
  </si>
  <si>
    <t>Find structural inconsistencies</t>
  </si>
  <si>
    <t>All model tables</t>
  </si>
  <si>
    <t>Checks</t>
  </si>
  <si>
    <t>Run checks</t>
  </si>
  <si>
    <t>Consistency errors</t>
  </si>
  <si>
    <t>6. Change</t>
  </si>
  <si>
    <t>Review affected items</t>
  </si>
  <si>
    <t>FR or DP ID</t>
  </si>
  <si>
    <t>Impact</t>
  </si>
  <si>
    <t>Change impact</t>
  </si>
  <si>
    <t>Consistency warnings</t>
  </si>
  <si>
    <t>7. Baseline</t>
  </si>
  <si>
    <t>Keep a recoverable version</t>
  </si>
  <si>
    <t>Current workbook</t>
  </si>
  <si>
    <t>Snapshot copy</t>
  </si>
  <si>
    <t>Save snapshot</t>
  </si>
  <si>
    <t>Logged changes</t>
  </si>
  <si>
    <t>Workbook version</t>
  </si>
  <si>
    <t>1.0.0</t>
  </si>
  <si>
    <t>Enable macros when opening the .xlsm file. Use Refresh model after changing CN/FR/DP records. Yellow cells are intended inputs. Values marked TBC require research or engineering validation.</t>
  </si>
  <si>
    <t>How to use this workbook</t>
  </si>
  <si>
    <t>The source table drives every generated analysis view</t>
  </si>
  <si>
    <t>Step</t>
  </si>
  <si>
    <t>What to do</t>
  </si>
  <si>
    <t>Important rule</t>
  </si>
  <si>
    <t>1</t>
  </si>
  <si>
    <t>Edit or add rows in CN-FR-DP.</t>
  </si>
  <si>
    <t>Customer Needs stay in customer language. FRs state what; DPs state how.</t>
  </si>
  <si>
    <t>2</t>
  </si>
  <si>
    <t>Use stable IDs and parent IDs for decomposition.</t>
  </si>
  <si>
    <t>Do not mix a decomposed parent and its children in one matrix level. Mark the parent Decomposed.</t>
  </si>
  <si>
    <t>3</t>
  </si>
  <si>
    <t>List secondary DP IDs separated by commas.</t>
  </si>
  <si>
    <t>One principal DP is the row's DP ID. Secondary links represent coupling.</t>
  </si>
  <si>
    <t>4</t>
  </si>
  <si>
    <t>Enter design and system range limits when known.</t>
  </si>
  <si>
    <t>Use the same unit and orientation for both ranges. Leave both limits blank when TBC.</t>
  </si>
  <si>
    <t>5</t>
  </si>
  <si>
    <t>Run Refresh model.</t>
  </si>
  <si>
    <t>The macro rebuilds the matrix and tree, runs checks, and updates the dashboard.</t>
  </si>
  <si>
    <t>6</t>
  </si>
  <si>
    <t>Review Design Matrix and Information.</t>
  </si>
  <si>
    <t>Uncoupled is diagonal. Decoupled is triangular. Coupled needs redesign or further decomposition.</t>
  </si>
  <si>
    <t>7</t>
  </si>
  <si>
    <t>Run Change impact before approving a change.</t>
  </si>
  <si>
    <t>The report finds direct children and secondary DP interactions; reviewers still make the decision.</t>
  </si>
  <si>
    <t>8</t>
  </si>
  <si>
    <t>Create a snapshot before a baseline or major revision.</t>
  </si>
  <si>
    <t>Snapshots are full workbook copies in a versions folder.</t>
  </si>
  <si>
    <t>Feature</t>
  </si>
  <si>
    <t>v1 status</t>
  </si>
  <si>
    <t>Method</t>
  </si>
  <si>
    <t>Limit</t>
  </si>
  <si>
    <t>CN/FR/DP and constraints</t>
  </si>
  <si>
    <t>Implemented</t>
  </si>
  <si>
    <t>Source tables</t>
  </si>
  <si>
    <t>Manual authoring</t>
  </si>
  <si>
    <t>Independence Axiom</t>
  </si>
  <si>
    <t>Generated square matrix</t>
  </si>
  <si>
    <t>50 active pairs</t>
  </si>
  <si>
    <t>Hierarchy and zig-zagging</t>
  </si>
  <si>
    <t>Parent IDs and tree</t>
  </si>
  <si>
    <t>Text tree, not a diagram canvas</t>
  </si>
  <si>
    <t>Information Axiom</t>
  </si>
  <si>
    <t>Uniform interval approximation</t>
  </si>
  <si>
    <t>Replace with measured distributions when available</t>
  </si>
  <si>
    <t>Consistency and propagation</t>
  </si>
  <si>
    <t>Rule checks and impact report</t>
  </si>
  <si>
    <t>Review support, not automatic approval</t>
  </si>
  <si>
    <t>History/versioning</t>
  </si>
  <si>
    <t>Basic</t>
  </si>
  <si>
    <t>Audit log and full snapshots</t>
  </si>
  <si>
    <t>No semantic merge</t>
  </si>
  <si>
    <t>Multi-user collaboration</t>
  </si>
  <si>
    <t>Out of scope</t>
  </si>
  <si>
    <t>Use a shared source model later</t>
  </si>
  <si>
    <t>VBA event history is not coauthoring-safe</t>
  </si>
  <si>
    <t>Information Axiom convention</t>
  </si>
  <si>
    <t>Design range</t>
  </si>
  <si>
    <t>System range</t>
  </si>
  <si>
    <t>Common range</t>
  </si>
  <si>
    <t>Meaning</t>
  </si>
  <si>
    <t>Expected output interval</t>
  </si>
  <si>
    <t>Acceptable interval</t>
  </si>
  <si>
    <t>Overlap of the two intervals</t>
  </si>
  <si>
    <t>Probability</t>
  </si>
  <si>
    <t>Common range / design range</t>
  </si>
  <si>
    <t>Uniform-distribution screening assumption</t>
  </si>
  <si>
    <t>-log2(probability)</t>
  </si>
  <si>
    <t>0 bits is best; no overlap is infinite information</t>
  </si>
  <si>
    <t>CN - FR - DP source model</t>
  </si>
  <si>
    <t>Example: modular AI desk clock. Replace the content while preserving IDs and columns.</t>
  </si>
  <si>
    <t>Level</t>
  </si>
  <si>
    <t>CN ID</t>
  </si>
  <si>
    <t>Customer Need</t>
  </si>
  <si>
    <t>Priority</t>
  </si>
  <si>
    <t>FR ID</t>
  </si>
  <si>
    <t>Parent FR ID</t>
  </si>
  <si>
    <t>Functional Requirement</t>
  </si>
  <si>
    <t>Design Low</t>
  </si>
  <si>
    <t>Design High</t>
  </si>
  <si>
    <t>Unit</t>
  </si>
  <si>
    <t>DP ID</t>
  </si>
  <si>
    <t>Parent DP ID</t>
  </si>
  <si>
    <t>Design Parameter</t>
  </si>
  <si>
    <t>System Low</t>
  </si>
  <si>
    <t>System High</t>
  </si>
  <si>
    <t>Constraint IDs</t>
  </si>
  <si>
    <t>Verification</t>
  </si>
  <si>
    <t>Owner</t>
  </si>
  <si>
    <t>Status</t>
  </si>
  <si>
    <t>CN1</t>
  </si>
  <si>
    <t>I can understand time, status, and assistant responses at a glance.</t>
  </si>
  <si>
    <t>Must</t>
  </si>
  <si>
    <t>FR1</t>
  </si>
  <si>
    <t>Present time, system state, and assistant output visually.</t>
  </si>
  <si>
    <t>TBC</t>
  </si>
  <si>
    <t>DP1</t>
  </si>
  <si>
    <t>Front visual-interaction subsystem with display control and dimming.</t>
  </si>
  <si>
    <t>DP4, DP5, DP6, DP8</t>
  </si>
  <si>
    <t>Readability, viewing-angle, refresh-latency, and touch-response tests.</t>
  </si>
  <si>
    <t>Draft</t>
  </si>
  <si>
    <t>CN2</t>
  </si>
  <si>
    <t>I can interact naturally by touch, voice, or visible gestures.</t>
  </si>
  <si>
    <t>FR2</t>
  </si>
  <si>
    <t>Acquire deliberate user commands through supported interaction modes.</t>
  </si>
  <si>
    <t>DP2</t>
  </si>
  <si>
    <t>Coordinated touch, audio-input, and visual-input subsystems.</t>
  </si>
  <si>
    <t>DP4, DP5, DP6, DP8, DP9</t>
  </si>
  <si>
    <t>Scenario tests for every enabled input mode.</t>
  </si>
  <si>
    <t>Decomposed</t>
  </si>
  <si>
    <t>FR2.1</t>
  </si>
  <si>
    <t>Detect intentional direct-contact commands.</t>
  </si>
  <si>
    <t>DP2.1</t>
  </si>
  <si>
    <t>Capacitive touch sensor and local touch controller.</t>
  </si>
  <si>
    <t>DP1, DP4, DP5, DP6, DP8</t>
  </si>
  <si>
    <t>Touch activation, false-input, and latency tests.</t>
  </si>
  <si>
    <t>FR2.2</t>
  </si>
  <si>
    <t>Capture speech in the intended desk interaction zone.</t>
  </si>
  <si>
    <t>DP2.2</t>
  </si>
  <si>
    <t>Microphone subsystem with local audio capture and wake management.</t>
  </si>
  <si>
    <t>Speech capture and false-wake tests under expected noise.</t>
  </si>
  <si>
    <t>FR2.3</t>
  </si>
  <si>
    <t>Capture visual information for approved gesture and context functions.</t>
  </si>
  <si>
    <t>DP2.3</t>
  </si>
  <si>
    <t>Forward camera module with local control and physical shutter.</t>
  </si>
  <si>
    <t>Gesture and privacy-state tests under expected lighting.</t>
  </si>
  <si>
    <t>CN3</t>
  </si>
  <si>
    <t>I can hear responses clearly without another device.</t>
  </si>
  <si>
    <t>FR3</t>
  </si>
  <si>
    <t>Deliver intelligible audible responses.</t>
  </si>
  <si>
    <t>DP3</t>
  </si>
  <si>
    <t>Speaker, amplifier, acoustic chamber, and output controller.</t>
  </si>
  <si>
    <t>SPL, distortion, frequency-response, and listening tests.</t>
  </si>
  <si>
    <t>CN4</t>
  </si>
  <si>
    <t>My assistant identity and processing can move to another product.</t>
  </si>
  <si>
    <t>FR4</t>
  </si>
  <si>
    <t>Execute portable assistant functions and preserve transferable state.</t>
  </si>
  <si>
    <t>DP4</t>
  </si>
  <si>
    <t>Universal core with compute, protected storage, and wireless connectivity.</t>
  </si>
  <si>
    <t>DP5, DP6, DP8, DP9</t>
  </si>
  <si>
    <t>C1</t>
  </si>
  <si>
    <t>Transfer the core between two reference hosts and verify continuity.</t>
  </si>
  <si>
    <t>CN5</t>
  </si>
  <si>
    <t>Moving the core between products is quick, obvious, and safe.</t>
  </si>
  <si>
    <t>FR5</t>
  </si>
  <si>
    <t>Exchange required power and information between core and host.</t>
  </si>
  <si>
    <t>DP5</t>
  </si>
  <si>
    <t>Keyed rear dock, distribution controller, and positive retention latch.</t>
  </si>
  <si>
    <t>DP4, DP6, DP8, DP10</t>
  </si>
  <si>
    <t>C2, C4</t>
  </si>
  <si>
    <t>Electrical margin, hot-plug, misalignment, ESD, and cycle tests.</t>
  </si>
  <si>
    <t>CN6</t>
  </si>
  <si>
    <t>The clock remains useful while consuming little energy.</t>
  </si>
  <si>
    <t>FR6</t>
  </si>
  <si>
    <t>Store, convert, distribute, and supervise energy in every state.</t>
  </si>
  <si>
    <t>DP6</t>
  </si>
  <si>
    <t>Replaceable battery, protection, fuel gauge, rails, and power controller.</t>
  </si>
  <si>
    <t>DP1, DP2.1, DP2.2, DP2.3, DP3, DP4, DP5, DP7, DP8, DP10</t>
  </si>
  <si>
    <t>C4, C6</t>
  </si>
  <si>
    <t>Energy budget, runtime, charging, fault, and thermal tests.</t>
  </si>
  <si>
    <t>CN12</t>
  </si>
  <si>
    <t>The design accepts future host modules without replacing the core.</t>
  </si>
  <si>
    <t>Should</t>
  </si>
  <si>
    <t>FR7</t>
  </si>
  <si>
    <t>Determine motion, orientation, and relevant ambient conditions.</t>
  </si>
  <si>
    <t>DP7</t>
  </si>
  <si>
    <t>Locally controlled IMU and environmental-sensor subsystem.</t>
  </si>
  <si>
    <t>C6</t>
  </si>
  <si>
    <t>Orientation, motion-trigger, ambient-light, and sleep-current tests.</t>
  </si>
  <si>
    <t>CN7</t>
  </si>
  <si>
    <t>The clock is stable, compact, and balanced on a desk.</t>
  </si>
  <si>
    <t>FR8</t>
  </si>
  <si>
    <t>Support, align, protect, and orient the product during normal use.</t>
  </si>
  <si>
    <t>DP8</t>
  </si>
  <si>
    <t>Structural carrier, enclosure, matched volumes, and weighted base.</t>
  </si>
  <si>
    <t>DP5, DP6, DP10</t>
  </si>
  <si>
    <t>C3, C5, C7, C8</t>
  </si>
  <si>
    <t>Tip, drop, vibration, alignment, RF, and thermal tests.</t>
  </si>
  <si>
    <t>CN8</t>
  </si>
  <si>
    <t>I remain in control of the camera and microphone.</t>
  </si>
  <si>
    <t>FR9</t>
  </si>
  <si>
    <t>Prevent or clearly indicate unintended audio and image capture.</t>
  </si>
  <si>
    <t>DP9</t>
  </si>
  <si>
    <t>Camera shutter, microphone disconnect, and capture-status indicator.</t>
  </si>
  <si>
    <t>DP2.2, DP2.3, DP4, DP6, DP8</t>
  </si>
  <si>
    <t>C4</t>
  </si>
  <si>
    <t>Verify isolation and attempt capture in every privacy state.</t>
  </si>
  <si>
    <t>CN10</t>
  </si>
  <si>
    <t>I can replace a battery or failed module without discarding the product.</t>
  </si>
  <si>
    <t>FR10</t>
  </si>
  <si>
    <t>Permit core removal and module service without product damage.</t>
  </si>
  <si>
    <t>DP10</t>
  </si>
  <si>
    <t>Release mechanism, captive fasteners, replaceable seals, and service sequence.</t>
  </si>
  <si>
    <t>DP1, DP2.1, DP2.2, DP2.3, DP3, DP4, DP5, DP6, DP7, DP8, DP9</t>
  </si>
  <si>
    <t>C5, C7</t>
  </si>
  <si>
    <t>Timed disassembly, incorrect-assembly, and service-cycle tests.</t>
  </si>
  <si>
    <t>Classification</t>
  </si>
  <si>
    <t>FR \ DP</t>
  </si>
  <si>
    <t>Principal</t>
  </si>
  <si>
    <t>Secondary</t>
  </si>
  <si>
    <t>X</t>
  </si>
  <si>
    <t>△</t>
  </si>
  <si>
    <t>Uniform interval approximation. Enter ranges in CN-FR-DP, then refresh or recalculate.</t>
  </si>
  <si>
    <t>Design Range</t>
  </si>
  <si>
    <t>System Range</t>
  </si>
  <si>
    <t>Common Low</t>
  </si>
  <si>
    <t>Common High</t>
  </si>
  <si>
    <t>Common Range</t>
  </si>
  <si>
    <t>Success Probability</t>
  </si>
  <si>
    <t>Information Content (bits)</t>
  </si>
  <si>
    <t>Result</t>
  </si>
  <si>
    <t>FR / DP hierarchy</t>
  </si>
  <si>
    <t>Generated from Level and Parent IDs; decomposed parents stay visible</t>
  </si>
  <si>
    <t>Parent FR</t>
  </si>
  <si>
    <t>Parent DP</t>
  </si>
  <si>
    <t>Limits on acceptable solutions; these are not independent functions</t>
  </si>
  <si>
    <t>Constraint ID</t>
  </si>
  <si>
    <t>Constraint</t>
  </si>
  <si>
    <t>Current status / range</t>
  </si>
  <si>
    <t>Category</t>
  </si>
  <si>
    <t>State</t>
  </si>
  <si>
    <t>Universal core target envelope is 32 x 28 x 8 mm.</t>
  </si>
  <si>
    <t>Concept target; stack-up and thermal feasibility TBC.</t>
  </si>
  <si>
    <t>Mechanical</t>
  </si>
  <si>
    <t>C2</t>
  </si>
  <si>
    <t>One rear keyed interface is shown with four electrical contacts.</t>
  </si>
  <si>
    <t>Contact count is not validated for power, signal, and safety.</t>
  </si>
  <si>
    <t>Interface</t>
  </si>
  <si>
    <t>C3</t>
  </si>
  <si>
    <t>Use durable recycled-aluminum-intent metal where feasible.</t>
  </si>
  <si>
    <t>Grade, recycled content, coating, and RF windows TBC.</t>
  </si>
  <si>
    <t>Material</t>
  </si>
  <si>
    <t>Remain safe during charging, battery faults, misalignment, and misuse.</t>
  </si>
  <si>
    <t>Applicable standards and test limits TBC.</t>
  </si>
  <si>
    <t>Safety</t>
  </si>
  <si>
    <t>C5</t>
  </si>
  <si>
    <t>Host peripherals do not use the removable core as structure.</t>
  </si>
  <si>
    <t>Structural carrier remains host-owned.</t>
  </si>
  <si>
    <t>Architecture</t>
  </si>
  <si>
    <t>Every module supports defined active, idle, and off states.</t>
  </si>
  <si>
    <t>Product energy budget and transition timing TBC.</t>
  </si>
  <si>
    <t>Energy</t>
  </si>
  <si>
    <t>C7</t>
  </si>
  <si>
    <t>Minimize adhesive where it prevents repair or separation.</t>
  </si>
  <si>
    <t>Prefer captive screws, clips, and replaceable gaskets.</t>
  </si>
  <si>
    <t>Service</t>
  </si>
  <si>
    <t>C8</t>
  </si>
  <si>
    <t>External geometry remains balanced for desk use.</t>
  </si>
  <si>
    <t>Tip-over, viewing angle, and footprint targets TBC.</t>
  </si>
  <si>
    <t>C9</t>
  </si>
  <si>
    <t>Meet prototype cost ceiling with obtainable components.</t>
  </si>
  <si>
    <t>Budget, quantity, and sourcing region TBC.</t>
  </si>
  <si>
    <t>Cost</t>
  </si>
  <si>
    <t>Run Change impact and enter an FR or DP ID</t>
  </si>
  <si>
    <t>Selected ID</t>
  </si>
  <si>
    <t>Impact reason</t>
  </si>
  <si>
    <t>Required action</t>
  </si>
  <si>
    <t>Consistency checks</t>
  </si>
  <si>
    <t>Generated checks are terminal review results and do not drive the model</t>
  </si>
  <si>
    <t>Severity</t>
  </si>
  <si>
    <t>Item</t>
  </si>
  <si>
    <t>Issue</t>
  </si>
  <si>
    <t>Checked at</t>
  </si>
  <si>
    <t>OK</t>
  </si>
  <si>
    <t>Workbook</t>
  </si>
  <si>
    <t>Run checks after editing the model</t>
  </si>
  <si>
    <t>Use the Dashboard button</t>
  </si>
  <si>
    <t>Change log</t>
  </si>
  <si>
    <t>Automatic event log for model, matrix, constraint, and information inputs</t>
  </si>
  <si>
    <t>Timestamp</t>
  </si>
  <si>
    <t>User</t>
  </si>
  <si>
    <t>Sheet</t>
  </si>
  <si>
    <t>Cell</t>
  </si>
  <si>
    <t>New value</t>
  </si>
  <si>
    <t>Review note</t>
  </si>
  <si>
    <t>Controlled lists</t>
  </si>
  <si>
    <t>Values used by workbook validations and future extensions</t>
  </si>
  <si>
    <t>Constraint state</t>
  </si>
  <si>
    <t>Mapping mark</t>
  </si>
  <si>
    <t>Review</t>
  </si>
  <si>
    <t>Could</t>
  </si>
  <si>
    <t>Approved</t>
  </si>
  <si>
    <t>Won't</t>
  </si>
  <si>
    <t>Retired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</si>
</sst>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%"/>
    <numFmt numFmtId="166" formatCode="yyyy\-mm\-dd\ hh:mm"/>
    <numFmt numFmtId="167" formatCode="yyyy\-mm\-dd\ hh:mm:ss"/>
  </numFmts>
  <fonts count="9">
    <font>
      <sz val="11"/>
      <name val="Carlito"/>
    </font>
    <font>
      <sz val="10"/>
      <color rgb="FF1F1F1F"/>
      <name val="Arial"/>
    </font>
    <font>
      <b/>
      <sz val="16"/>
      <color rgb="FF1F4E79"/>
      <name val="Arial"/>
    </font>
    <font>
      <i/>
      <sz val="10"/>
      <color rgb="FF666666"/>
      <name val="Arial"/>
    </font>
    <font>
      <b/>
      <sz val="10"/>
      <color rgb="FF1F1F1F"/>
      <name val="Arial"/>
    </font>
    <font>
      <b/>
      <sz val="10"/>
      <color rgb="FFFFFFFF"/>
      <name val="Arial"/>
    </font>
    <font>
      <b/>
      <sz val="10"/>
      <color rgb="FF1F4E79"/>
      <name val="Arial"/>
    </font>
    <font>
      <b/>
      <i/>
      <sz val="10"/>
      <color rgb="FF1F4E79"/>
      <name val="Arial"/>
    </font>
    <font>
      <sz val="11"/>
      <color rgb="FF000000"/>
      <name val="Carlito"/>
    </font>
  </fonts>
  <fills count="7">
    <fill>
      <patternFill patternType="none"/>
    </fill>
    <fill>
      <patternFill patternType="gray125"/>
    </fill>
    <fill>
      <patternFill patternType="solid">
        <fgColor rgb="FFD9EAF7"/>
      </patternFill>
    </fill>
    <fill>
      <patternFill patternType="solid">
        <fgColor rgb="FFF5F6F7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AF3F8"/>
      </patternFill>
    </fill>
  </fills>
  <borders count="34">
    <border>
      <left/>
      <right/>
      <top/>
      <bottom/>
      <diagonal/>
    </border>
    <border>
      <left/>
      <right/>
      <top/>
      <bottom style="thin">
        <color rgb="FF1F4E79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/>
      <right style="thin">
        <color rgb="FFB4C6E7"/>
      </right>
      <top style="thin">
        <color rgb="FFB4C6E7"/>
      </top>
      <bottom/>
      <diagonal/>
    </border>
    <border>
      <left style="thin">
        <color rgb="FFB4C6E7"/>
      </left>
      <right/>
      <top/>
      <bottom/>
      <diagonal/>
    </border>
    <border>
      <left/>
      <right style="thin">
        <color rgb="FFB4C6E7"/>
      </right>
      <top/>
      <bottom/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 style="thin">
        <color rgb="FFD6B656"/>
      </left>
      <right/>
      <top style="thin">
        <color rgb="FFD6B656"/>
      </top>
      <bottom/>
      <diagonal/>
    </border>
    <border>
      <left/>
      <right/>
      <top style="thin">
        <color rgb="FFD6B656"/>
      </top>
      <bottom/>
      <diagonal/>
    </border>
    <border>
      <left/>
      <right style="thin">
        <color rgb="FFD6B656"/>
      </right>
      <top style="thin">
        <color rgb="FFD6B656"/>
      </top>
      <bottom/>
      <diagonal/>
    </border>
    <border>
      <left style="thin">
        <color rgb="FFD6B656"/>
      </left>
      <right/>
      <top/>
      <bottom/>
      <diagonal/>
    </border>
    <border>
      <left/>
      <right style="thin">
        <color rgb="FFD6B656"/>
      </right>
      <top/>
      <bottom/>
      <diagonal/>
    </border>
    <border>
      <left style="thin">
        <color rgb="FFD6B656"/>
      </left>
      <right/>
      <top/>
      <bottom style="thin">
        <color rgb="FFD6B656"/>
      </bottom>
      <diagonal/>
    </border>
    <border>
      <left/>
      <right/>
      <top/>
      <bottom style="thin">
        <color rgb="FFD6B656"/>
      </bottom>
      <diagonal/>
    </border>
    <border>
      <left/>
      <right style="thin">
        <color rgb="FFD6B656"/>
      </right>
      <top/>
      <bottom style="thin">
        <color rgb="FFD6B656"/>
      </bottom>
      <diagonal/>
    </border>
    <border>
      <left/>
      <right/>
      <top style="thin">
        <color rgb="FFD9E2F3"/>
      </top>
      <bottom/>
      <diagonal/>
    </border>
    <border>
      <left style="thin">
        <color rgb="FFD6B656"/>
      </left>
      <right/>
      <top style="thin">
        <color rgb="FFD6B656"/>
      </top>
      <bottom style="thin">
        <color rgb="FFD9E2F3"/>
      </bottom>
      <diagonal/>
    </border>
    <border>
      <left/>
      <right/>
      <top style="thin">
        <color rgb="FFD6B656"/>
      </top>
      <bottom style="thin">
        <color rgb="FFD9E2F3"/>
      </bottom>
      <diagonal/>
    </border>
    <border>
      <left/>
      <right style="thin">
        <color rgb="FFD6B656"/>
      </right>
      <top style="thin">
        <color rgb="FFD6B656"/>
      </top>
      <bottom style="thin">
        <color rgb="FFD9E2F3"/>
      </bottom>
      <diagonal/>
    </border>
    <border>
      <left style="thin">
        <color rgb="FFD6B656"/>
      </left>
      <right/>
      <top style="thin">
        <color rgb="FFD9E2F3"/>
      </top>
      <bottom style="thin">
        <color rgb="FFD9E2F3"/>
      </bottom>
      <diagonal/>
    </border>
    <border>
      <left/>
      <right style="thin">
        <color rgb="FFD6B656"/>
      </right>
      <top style="thin">
        <color rgb="FFD9E2F3"/>
      </top>
      <bottom style="thin">
        <color rgb="FFD9E2F3"/>
      </bottom>
      <diagonal/>
    </border>
    <border>
      <left style="thin">
        <color rgb="FFD6B656"/>
      </left>
      <right/>
      <top style="thin">
        <color rgb="FFD9E2F3"/>
      </top>
      <bottom/>
      <diagonal/>
    </border>
    <border>
      <left/>
      <right style="thin">
        <color rgb="FFD6B656"/>
      </right>
      <top style="thin">
        <color rgb="FFD9E2F3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E7E6E6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/>
      <right/>
      <top style="thin">
        <color rgb="FFE7E6E6"/>
      </top>
      <bottom/>
      <diagonal/>
    </border>
    <border>
      <left style="thin">
        <color rgb="FFD6B656"/>
      </left>
      <right style="thin">
        <color rgb="FFD6B656"/>
      </right>
      <top style="thin">
        <color rgb="FFD6B656"/>
      </top>
      <bottom style="thin">
        <color rgb="FFD6B656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164" fontId="4" fillId="3" borderId="5" xfId="0" applyNumberFormat="1" applyFont="1" applyFill="1" applyBorder="1" applyAlignment="1">
      <alignment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9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1" fillId="5" borderId="13" xfId="0" applyFont="1" applyFill="1" applyBorder="1" applyAlignment="1">
      <alignment vertical="center" wrapText="1"/>
    </xf>
    <xf numFmtId="0" fontId="1" fillId="5" borderId="14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6" xfId="0" applyFont="1" applyFill="1" applyBorder="1" applyAlignment="1">
      <alignment vertical="center" wrapText="1"/>
    </xf>
    <xf numFmtId="0" fontId="1" fillId="5" borderId="0" xfId="0" applyFont="1" applyFill="1" applyAlignment="1">
      <alignment vertical="center" wrapText="1"/>
    </xf>
    <xf numFmtId="0" fontId="1" fillId="5" borderId="17" xfId="0" applyFont="1" applyFill="1" applyBorder="1" applyAlignment="1">
      <alignment vertical="center" wrapText="1"/>
    </xf>
    <xf numFmtId="0" fontId="1" fillId="5" borderId="18" xfId="0" applyFont="1" applyFill="1" applyBorder="1" applyAlignment="1">
      <alignment vertical="center" wrapText="1"/>
    </xf>
    <xf numFmtId="0" fontId="1" fillId="5" borderId="19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5" borderId="12" xfId="0" applyFont="1" applyFill="1" applyBorder="1" applyAlignment="1">
      <alignment vertical="center" wrapText="1"/>
    </xf>
    <xf numFmtId="0" fontId="1" fillId="5" borderId="21" xfId="0" applyFont="1" applyFill="1" applyBorder="1" applyAlignment="1">
      <alignment vertical="center" wrapText="1"/>
    </xf>
    <xf numFmtId="0" fontId="1" fillId="5" borderId="22" xfId="0" applyFont="1" applyFill="1" applyBorder="1" applyAlignment="1">
      <alignment vertical="center" wrapText="1"/>
    </xf>
    <xf numFmtId="0" fontId="1" fillId="5" borderId="23" xfId="0" applyFont="1" applyFill="1" applyBorder="1" applyAlignment="1">
      <alignment vertical="center" wrapText="1"/>
    </xf>
    <xf numFmtId="0" fontId="1" fillId="5" borderId="24" xfId="0" applyFont="1" applyFill="1" applyBorder="1" applyAlignment="1">
      <alignment vertical="center" wrapText="1"/>
    </xf>
    <xf numFmtId="0" fontId="1" fillId="5" borderId="25" xfId="0" applyFont="1" applyFill="1" applyBorder="1" applyAlignment="1">
      <alignment vertical="center" wrapText="1"/>
    </xf>
    <xf numFmtId="0" fontId="1" fillId="5" borderId="26" xfId="0" applyFont="1" applyFill="1" applyBorder="1" applyAlignment="1">
      <alignment vertical="center" wrapText="1"/>
    </xf>
    <xf numFmtId="0" fontId="1" fillId="5" borderId="27" xfId="0" applyFont="1" applyFill="1" applyBorder="1" applyAlignment="1">
      <alignment vertical="center" wrapText="1"/>
    </xf>
    <xf numFmtId="0" fontId="1" fillId="5" borderId="28" xfId="0" applyFont="1" applyFill="1" applyBorder="1" applyAlignment="1">
      <alignment vertical="center" wrapText="1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vertical="center"/>
    </xf>
    <xf numFmtId="0" fontId="1" fillId="0" borderId="30" xfId="0" applyFont="1" applyBorder="1" applyAlignment="1">
      <alignment vertical="center" wrapText="1"/>
    </xf>
    <xf numFmtId="164" fontId="1" fillId="0" borderId="30" xfId="0" applyNumberFormat="1" applyFont="1" applyBorder="1" applyAlignment="1">
      <alignment vertical="center"/>
    </xf>
    <xf numFmtId="165" fontId="1" fillId="0" borderId="30" xfId="0" applyNumberFormat="1" applyFont="1" applyBorder="1" applyAlignment="1">
      <alignment vertical="center"/>
    </xf>
    <xf numFmtId="0" fontId="1" fillId="0" borderId="31" xfId="0" applyFont="1" applyBorder="1" applyAlignment="1">
      <alignment vertical="center"/>
    </xf>
    <xf numFmtId="0" fontId="1" fillId="0" borderId="31" xfId="0" applyFont="1" applyBorder="1" applyAlignment="1">
      <alignment vertical="center" wrapText="1"/>
    </xf>
    <xf numFmtId="164" fontId="1" fillId="0" borderId="31" xfId="0" applyNumberFormat="1" applyFont="1" applyBorder="1" applyAlignment="1">
      <alignment vertical="center"/>
    </xf>
    <xf numFmtId="165" fontId="1" fillId="0" borderId="31" xfId="0" applyNumberFormat="1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32" xfId="0" applyFont="1" applyBorder="1" applyAlignment="1">
      <alignment vertical="center" wrapText="1"/>
    </xf>
    <xf numFmtId="164" fontId="1" fillId="0" borderId="32" xfId="0" applyNumberFormat="1" applyFont="1" applyBorder="1" applyAlignment="1">
      <alignment vertical="center"/>
    </xf>
    <xf numFmtId="165" fontId="1" fillId="0" borderId="32" xfId="0" applyNumberFormat="1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1" fillId="5" borderId="33" xfId="0" applyFont="1" applyFill="1" applyBorder="1" applyAlignment="1">
      <alignment vertical="center"/>
    </xf>
    <xf numFmtId="0" fontId="0" fillId="0" borderId="31" xfId="0" applyBorder="1"/>
    <xf numFmtId="0" fontId="0" fillId="0" borderId="32" xfId="0" applyBorder="1"/>
    <xf numFmtId="166" fontId="1" fillId="0" borderId="30" xfId="0" applyNumberFormat="1" applyFont="1" applyBorder="1" applyAlignment="1">
      <alignment vertical="center"/>
    </xf>
    <xf numFmtId="166" fontId="1" fillId="0" borderId="31" xfId="0" applyNumberFormat="1" applyFont="1" applyBorder="1" applyAlignment="1">
      <alignment vertical="center"/>
    </xf>
    <xf numFmtId="166" fontId="0" fillId="0" borderId="31" xfId="0" applyNumberFormat="1" applyBorder="1"/>
    <xf numFmtId="166" fontId="0" fillId="0" borderId="32" xfId="0" applyNumberFormat="1" applyBorder="1"/>
    <xf numFmtId="167" fontId="1" fillId="0" borderId="0" xfId="0" applyNumberFormat="1" applyFont="1" applyAlignment="1">
      <alignment vertical="center"/>
    </xf>
    <xf numFmtId="167" fontId="0" fillId="0" borderId="0" xfId="0" applyNumberForma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5" borderId="13" xfId="0" applyFont="1" applyFill="1" applyBorder="1" applyAlignment="1">
      <alignment vertical="top" wrapText="1"/>
    </xf>
    <xf numFmtId="0" fontId="1" fillId="5" borderId="14" xfId="0" applyFont="1" applyFill="1" applyBorder="1" applyAlignment="1">
      <alignment vertical="top" wrapText="1"/>
    </xf>
    <xf numFmtId="0" fontId="1" fillId="5" borderId="15" xfId="0" applyFont="1" applyFill="1" applyBorder="1" applyAlignment="1">
      <alignment vertical="top" wrapText="1"/>
    </xf>
    <xf numFmtId="0" fontId="1" fillId="5" borderId="16" xfId="0" applyFont="1" applyFill="1" applyBorder="1" applyAlignment="1">
      <alignment vertical="top" wrapText="1"/>
    </xf>
    <xf numFmtId="0" fontId="1" fillId="5" borderId="0" xfId="0" applyFont="1" applyFill="1" applyAlignment="1">
      <alignment vertical="top" wrapText="1"/>
    </xf>
    <xf numFmtId="0" fontId="1" fillId="5" borderId="17" xfId="0" applyFont="1" applyFill="1" applyBorder="1" applyAlignment="1">
      <alignment vertical="top" wrapText="1"/>
    </xf>
    <xf numFmtId="0" fontId="1" fillId="5" borderId="18" xfId="0" applyFont="1" applyFill="1" applyBorder="1" applyAlignment="1">
      <alignment vertical="top" wrapText="1"/>
    </xf>
    <xf numFmtId="0" fontId="1" fillId="5" borderId="19" xfId="0" applyFont="1" applyFill="1" applyBorder="1" applyAlignment="1">
      <alignment vertical="top" wrapText="1"/>
    </xf>
    <xf numFmtId="0" fontId="1" fillId="5" borderId="20" xfId="0" applyFont="1" applyFill="1" applyBorder="1" applyAlignment="1">
      <alignment vertical="top" wrapText="1"/>
    </xf>
    <xf numFmtId="0" fontId="1" fillId="6" borderId="0" xfId="0" applyFont="1" applyFill="1" applyAlignment="1">
      <alignment vertical="center"/>
    </xf>
    <xf numFmtId="0" fontId="7" fillId="0" borderId="1" xfId="0" applyFont="1" applyBorder="1" applyAlignment="1">
      <alignment vertical="center"/>
    </xf>
    <xf numFmtId="0" fontId="1" fillId="6" borderId="1" xfId="0" applyFont="1" applyFill="1" applyBorder="1" applyAlignment="1">
      <alignment vertical="center"/>
    </xf>
  </cellXfs>
  <cellStyles count="1">
    <cellStyle name="Normal" xfId="0" builtinId="0"/>
  </cellStyles>
  <dxfs count="6">
    <dxf>
      <font>
        <color rgb="FF9C65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CE4D6"/>
        </patternFill>
      </fill>
    </dxf>
    <dxf>
      <font>
        <color rgb="FF9C65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CE4D6"/>
        </patternFill>
      </fill>
    </dxf>
    <dxf>
      <font>
        <color rgb="FF9C6500"/>
      </font>
      <fill>
        <patternFill patternType="solid">
          <bgColor rgb="FFFFF2CC"/>
        </patternFill>
      </fill>
    </dxf>
    <dxf>
      <font>
        <b/>
        <color rgb="FF006100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2</xdr:row>
          <xdr:rowOff>266700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Refresh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847725</xdr:colOff>
          <xdr:row>2</xdr:row>
          <xdr:rowOff>266700</xdr:rowOff>
        </xdr:from>
        <xdr:to>
          <xdr:col>4</xdr:col>
          <xdr:colOff>2181225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Run checks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2305050</xdr:colOff>
          <xdr:row>2</xdr:row>
          <xdr:rowOff>266700</xdr:rowOff>
        </xdr:from>
        <xdr:to>
          <xdr:col>5</xdr:col>
          <xdr:colOff>762000</xdr:colOff>
          <xdr:row>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Build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5</xdr:row>
          <xdr:rowOff>114300</xdr:rowOff>
        </xdr:from>
        <xdr:to>
          <xdr:col>4</xdr:col>
          <xdr:colOff>723900</xdr:colOff>
          <xdr:row>7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Change impact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847725</xdr:colOff>
          <xdr:row>5</xdr:row>
          <xdr:rowOff>114300</xdr:rowOff>
        </xdr:from>
        <xdr:to>
          <xdr:col>4</xdr:col>
          <xdr:colOff>2181225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Save snapshot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Model" displayName="tblModel" ref="A4:T104" totalsRowShown="0">
  <tableColumns count="20">
    <tableColumn id="1" xr3:uid="{00000000-0010-0000-0000-000001000000}" name="Level"/>
    <tableColumn id="2" xr3:uid="{00000000-0010-0000-0000-000002000000}" name="CN ID"/>
    <tableColumn id="3" xr3:uid="{00000000-0010-0000-0000-000003000000}" name="Customer Need"/>
    <tableColumn id="4" xr3:uid="{00000000-0010-0000-0000-000004000000}" name="Priority"/>
    <tableColumn id="5" xr3:uid="{00000000-0010-0000-0000-000005000000}" name="FR ID"/>
    <tableColumn id="6" xr3:uid="{00000000-0010-0000-0000-000006000000}" name="Parent FR ID"/>
    <tableColumn id="7" xr3:uid="{00000000-0010-0000-0000-000007000000}" name="Functional Requirement"/>
    <tableColumn id="8" xr3:uid="{00000000-0010-0000-0000-000008000000}" name="Design Low"/>
    <tableColumn id="9" xr3:uid="{00000000-0010-0000-0000-000009000000}" name="Design High"/>
    <tableColumn id="10" xr3:uid="{00000000-0010-0000-0000-00000A000000}" name="Unit"/>
    <tableColumn id="11" xr3:uid="{00000000-0010-0000-0000-00000B000000}" name="DP ID"/>
    <tableColumn id="12" xr3:uid="{00000000-0010-0000-0000-00000C000000}" name="Parent DP ID"/>
    <tableColumn id="13" xr3:uid="{00000000-0010-0000-0000-00000D000000}" name="Design Parameter"/>
    <tableColumn id="14" xr3:uid="{00000000-0010-0000-0000-00000E000000}" name="Secondary DP IDs"/>
    <tableColumn id="15" xr3:uid="{00000000-0010-0000-0000-00000F000000}" name="System Low"/>
    <tableColumn id="16" xr3:uid="{00000000-0010-0000-0000-000010000000}" name="System High"/>
    <tableColumn id="17" xr3:uid="{00000000-0010-0000-0000-000011000000}" name="Constraint IDs"/>
    <tableColumn id="18" xr3:uid="{00000000-0010-0000-0000-000012000000}" name="Verification"/>
    <tableColumn id="19" xr3:uid="{00000000-0010-0000-0000-000013000000}" name="Owner"/>
    <tableColumn id="20" xr3:uid="{00000000-0010-0000-0000-000014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nstraints" displayName="tblConstraints" ref="A4:F104" totalsRowShown="0">
  <tableColumns count="6">
    <tableColumn id="1" xr3:uid="{00000000-0010-0000-0100-000001000000}" name="Constraint ID"/>
    <tableColumn id="2" xr3:uid="{00000000-0010-0000-0100-000002000000}" name="Constraint"/>
    <tableColumn id="3" xr3:uid="{00000000-0010-0000-0100-000003000000}" name="Current status / range"/>
    <tableColumn id="4" xr3:uid="{00000000-0010-0000-0100-000004000000}" name="Category"/>
    <tableColumn id="5" xr3:uid="{00000000-0010-0000-0100-000005000000}" name="Owner"/>
    <tableColumn id="6" xr3:uid="{00000000-0010-0000-0100-000006000000}" name="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BD250"/>
  <sheetViews>
    <sheetView showGridLines="0" tabSelected="1" workbookViewId="0">
      <selection activeCell="B18" sqref="B18"/>
    </sheetView>
  </sheetViews>
  <sheetFormatPr defaultRowHeight="14.25"/>
  <cols>
    <col min="1" max="1" width="30" customWidth="1"/>
    <col min="2" max="2" width="42" customWidth="1"/>
    <col min="3" max="3" width="3" customWidth="1"/>
    <col min="4" max="4" width="18" customWidth="1"/>
    <col min="5" max="5" width="37" customWidth="1"/>
    <col min="6" max="7" width="22" customWidth="1"/>
    <col min="8" max="8" width="20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0</v>
      </c>
      <c r="B2" s="63"/>
      <c r="C2" s="63"/>
      <c r="D2" s="63"/>
      <c r="E2" s="63"/>
      <c r="F2" s="63"/>
      <c r="G2" s="63"/>
      <c r="H2" s="63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64" t="s">
        <v>1</v>
      </c>
      <c r="B3" s="65"/>
      <c r="C3" s="65"/>
      <c r="D3" s="65"/>
      <c r="E3" s="65"/>
      <c r="F3" s="65"/>
      <c r="G3" s="65"/>
      <c r="H3" s="65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2" t="s">
        <v>2</v>
      </c>
      <c r="B5" s="3">
        <f>COUNTA('CN-FR-DP'!$E$5:$E$104)</f>
        <v>13</v>
      </c>
      <c r="C5" s="1"/>
      <c r="D5" s="9" t="s">
        <v>3</v>
      </c>
      <c r="E5" s="10" t="s">
        <v>4</v>
      </c>
      <c r="F5" s="10" t="s">
        <v>5</v>
      </c>
      <c r="G5" s="10" t="s">
        <v>6</v>
      </c>
      <c r="H5" s="11" t="s">
        <v>7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4" t="s">
        <v>8</v>
      </c>
      <c r="B6" s="5">
        <f>COUNTA(Constraints!$A$5:$A$104)</f>
        <v>9</v>
      </c>
      <c r="C6" s="1"/>
      <c r="D6" s="14" t="s">
        <v>9</v>
      </c>
      <c r="E6" s="12" t="s">
        <v>10</v>
      </c>
      <c r="F6" s="12" t="s">
        <v>11</v>
      </c>
      <c r="G6" s="12" t="s">
        <v>12</v>
      </c>
      <c r="H6" s="12" t="s">
        <v>13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4" t="s">
        <v>14</v>
      </c>
      <c r="B7" s="5">
        <f>COUNTA('Design Matrix'!$A$5:$A$54)</f>
        <v>12</v>
      </c>
      <c r="C7" s="1"/>
      <c r="D7" s="15" t="s">
        <v>15</v>
      </c>
      <c r="E7" s="13" t="s">
        <v>16</v>
      </c>
      <c r="F7" s="13" t="s">
        <v>17</v>
      </c>
      <c r="G7" s="13" t="s">
        <v>18</v>
      </c>
      <c r="H7" s="13" t="s">
        <v>19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4" t="s">
        <v>20</v>
      </c>
      <c r="B8" s="5" t="s">
        <v>21</v>
      </c>
      <c r="C8" s="1"/>
      <c r="D8" s="15" t="s">
        <v>22</v>
      </c>
      <c r="E8" s="13" t="s">
        <v>23</v>
      </c>
      <c r="F8" s="13" t="s">
        <v>24</v>
      </c>
      <c r="G8" s="13" t="s">
        <v>25</v>
      </c>
      <c r="H8" s="13" t="s">
        <v>19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4" t="s">
        <v>26</v>
      </c>
      <c r="B9" s="5" t="s">
        <v>27</v>
      </c>
      <c r="C9" s="1"/>
      <c r="D9" s="15" t="s">
        <v>28</v>
      </c>
      <c r="E9" s="13" t="s">
        <v>29</v>
      </c>
      <c r="F9" s="13" t="s">
        <v>30</v>
      </c>
      <c r="G9" s="13" t="s">
        <v>31</v>
      </c>
      <c r="H9" s="13" t="s">
        <v>32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4" t="s">
        <v>33</v>
      </c>
      <c r="B10" s="8">
        <f>SUM(Information!$N$5:$N$54)</f>
        <v>0</v>
      </c>
      <c r="C10" s="1"/>
      <c r="D10" s="15" t="s">
        <v>34</v>
      </c>
      <c r="E10" s="13" t="s">
        <v>35</v>
      </c>
      <c r="F10" s="13" t="s">
        <v>36</v>
      </c>
      <c r="G10" s="13" t="s">
        <v>37</v>
      </c>
      <c r="H10" s="13" t="s">
        <v>38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4" t="s">
        <v>39</v>
      </c>
      <c r="B11" s="5">
        <v>0</v>
      </c>
      <c r="C11" s="1"/>
      <c r="D11" s="15" t="s">
        <v>40</v>
      </c>
      <c r="E11" s="13" t="s">
        <v>41</v>
      </c>
      <c r="F11" s="13" t="s">
        <v>42</v>
      </c>
      <c r="G11" s="13" t="s">
        <v>43</v>
      </c>
      <c r="H11" s="13" t="s">
        <v>44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4" t="s">
        <v>45</v>
      </c>
      <c r="B12" s="5">
        <v>0</v>
      </c>
      <c r="C12" s="1"/>
      <c r="D12" s="15" t="s">
        <v>46</v>
      </c>
      <c r="E12" s="13" t="s">
        <v>47</v>
      </c>
      <c r="F12" s="13" t="s">
        <v>48</v>
      </c>
      <c r="G12" s="13" t="s">
        <v>49</v>
      </c>
      <c r="H12" s="13" t="s">
        <v>50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4" t="s">
        <v>51</v>
      </c>
      <c r="B13" s="5">
        <v>0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6" t="s">
        <v>52</v>
      </c>
      <c r="B14" s="7" t="s">
        <v>53</v>
      </c>
      <c r="C14" s="1"/>
      <c r="D14" s="66" t="s">
        <v>54</v>
      </c>
      <c r="E14" s="67"/>
      <c r="F14" s="67"/>
      <c r="G14" s="67"/>
      <c r="H14" s="68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/>
      <c r="B15" s="1"/>
      <c r="C15" s="1"/>
      <c r="D15" s="69"/>
      <c r="E15" s="70"/>
      <c r="F15" s="70"/>
      <c r="G15" s="70"/>
      <c r="H15" s="7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/>
      <c r="B16" s="1"/>
      <c r="C16" s="1"/>
      <c r="D16" s="72"/>
      <c r="E16" s="73"/>
      <c r="F16" s="73"/>
      <c r="G16" s="73"/>
      <c r="H16" s="74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3">
    <mergeCell ref="A2:H2"/>
    <mergeCell ref="A3:H3"/>
    <mergeCell ref="D14:H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efreshAll">
                <anchor moveWithCells="1" sizeWithCells="1">
                  <from>
                    <xdr:col>3</xdr:col>
                    <xdr:colOff>628650</xdr:colOff>
                    <xdr:row>2</xdr:row>
                    <xdr:rowOff>266700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RunConsistencyChecks">
                <anchor moveWithCells="1" sizeWithCells="1">
                  <from>
                    <xdr:col>4</xdr:col>
                    <xdr:colOff>847725</xdr:colOff>
                    <xdr:row>2</xdr:row>
                    <xdr:rowOff>266700</xdr:rowOff>
                  </from>
                  <to>
                    <xdr:col>4</xdr:col>
                    <xdr:colOff>2181225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BuildTreeView">
                <anchor moveWithCells="1" sizeWithCells="1">
                  <from>
                    <xdr:col>4</xdr:col>
                    <xdr:colOff>2305050</xdr:colOff>
                    <xdr:row>2</xdr:row>
                    <xdr:rowOff>266700</xdr:rowOff>
                  </from>
                  <to>
                    <xdr:col>5</xdr:col>
                    <xdr:colOff>762000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AnalyzeSelectedImpact">
                <anchor moveWithCells="1" sizeWithCells="1">
                  <from>
                    <xdr:col>3</xdr:col>
                    <xdr:colOff>628650</xdr:colOff>
                    <xdr:row>5</xdr:row>
                    <xdr:rowOff>114300</xdr:rowOff>
                  </from>
                  <to>
                    <xdr:col>4</xdr:col>
                    <xdr:colOff>723900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CreateVersionSnapshot">
                <anchor moveWithCells="1" sizeWithCells="1">
                  <from>
                    <xdr:col>4</xdr:col>
                    <xdr:colOff>847725</xdr:colOff>
                    <xdr:row>5</xdr:row>
                    <xdr:rowOff>114300</xdr:rowOff>
                  </from>
                  <to>
                    <xdr:col>4</xdr:col>
                    <xdr:colOff>2181225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F8C8D"/>
  </sheetPr>
  <dimension ref="A1:BD250"/>
  <sheetViews>
    <sheetView showGridLines="0" workbookViewId="0"/>
  </sheetViews>
  <sheetFormatPr defaultRowHeight="14.25"/>
  <cols>
    <col min="1" max="1" width="15" customWidth="1"/>
    <col min="2" max="2" width="43" customWidth="1"/>
    <col min="3" max="3" width="54" customWidth="1"/>
    <col min="4" max="4" width="48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55</v>
      </c>
      <c r="B2" s="63"/>
      <c r="C2" s="63"/>
      <c r="D2" s="6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64" t="s">
        <v>56</v>
      </c>
      <c r="B3" s="65"/>
      <c r="C3" s="65"/>
      <c r="D3" s="65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9" t="s">
        <v>57</v>
      </c>
      <c r="B5" s="10" t="s">
        <v>58</v>
      </c>
      <c r="C5" s="11" t="s">
        <v>59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25.5">
      <c r="A6" s="26" t="s">
        <v>60</v>
      </c>
      <c r="B6" s="26" t="s">
        <v>61</v>
      </c>
      <c r="C6" s="26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25.5">
      <c r="A7" s="27" t="s">
        <v>63</v>
      </c>
      <c r="B7" s="27" t="s">
        <v>64</v>
      </c>
      <c r="C7" s="27" t="s">
        <v>65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27" t="s">
        <v>66</v>
      </c>
      <c r="B8" s="27" t="s">
        <v>67</v>
      </c>
      <c r="C8" s="27" t="s">
        <v>68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25.5">
      <c r="A9" s="27" t="s">
        <v>69</v>
      </c>
      <c r="B9" s="27" t="s">
        <v>70</v>
      </c>
      <c r="C9" s="27" t="s">
        <v>71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ht="25.5">
      <c r="A10" s="27" t="s">
        <v>72</v>
      </c>
      <c r="B10" s="27" t="s">
        <v>73</v>
      </c>
      <c r="C10" s="27" t="s">
        <v>74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25.5">
      <c r="A11" s="27" t="s">
        <v>75</v>
      </c>
      <c r="B11" s="27" t="s">
        <v>76</v>
      </c>
      <c r="C11" s="27" t="s">
        <v>77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25.5">
      <c r="A12" s="27" t="s">
        <v>78</v>
      </c>
      <c r="B12" s="27" t="s">
        <v>79</v>
      </c>
      <c r="C12" s="27" t="s">
        <v>80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28" t="s">
        <v>81</v>
      </c>
      <c r="B13" s="28" t="s">
        <v>82</v>
      </c>
      <c r="C13" s="28" t="s">
        <v>83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9" t="s">
        <v>84</v>
      </c>
      <c r="B15" s="10" t="s">
        <v>85</v>
      </c>
      <c r="C15" s="10" t="s">
        <v>86</v>
      </c>
      <c r="D15" s="11" t="s">
        <v>87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25.5">
      <c r="A16" s="26" t="s">
        <v>88</v>
      </c>
      <c r="B16" s="26" t="s">
        <v>89</v>
      </c>
      <c r="C16" s="26" t="s">
        <v>90</v>
      </c>
      <c r="D16" s="26" t="s">
        <v>91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25.5">
      <c r="A17" s="27" t="s">
        <v>92</v>
      </c>
      <c r="B17" s="27" t="s">
        <v>89</v>
      </c>
      <c r="C17" s="27" t="s">
        <v>93</v>
      </c>
      <c r="D17" s="27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ht="25.5">
      <c r="A18" s="27" t="s">
        <v>95</v>
      </c>
      <c r="B18" s="27" t="s">
        <v>89</v>
      </c>
      <c r="C18" s="27" t="s">
        <v>96</v>
      </c>
      <c r="D18" s="27" t="s">
        <v>97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27" t="s">
        <v>98</v>
      </c>
      <c r="B19" s="27" t="s">
        <v>89</v>
      </c>
      <c r="C19" s="27" t="s">
        <v>99</v>
      </c>
      <c r="D19" s="27" t="s">
        <v>100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 ht="25.5">
      <c r="A20" s="27" t="s">
        <v>101</v>
      </c>
      <c r="B20" s="27" t="s">
        <v>89</v>
      </c>
      <c r="C20" s="27" t="s">
        <v>102</v>
      </c>
      <c r="D20" s="27" t="s">
        <v>103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27" t="s">
        <v>104</v>
      </c>
      <c r="B21" s="27" t="s">
        <v>105</v>
      </c>
      <c r="C21" s="27" t="s">
        <v>106</v>
      </c>
      <c r="D21" s="27" t="s">
        <v>107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 ht="25.5">
      <c r="A22" s="28" t="s">
        <v>108</v>
      </c>
      <c r="B22" s="28" t="s">
        <v>109</v>
      </c>
      <c r="C22" s="28" t="s">
        <v>110</v>
      </c>
      <c r="D22" s="28" t="s">
        <v>111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 ht="38.25">
      <c r="A24" s="9" t="s">
        <v>112</v>
      </c>
      <c r="B24" s="10" t="s">
        <v>113</v>
      </c>
      <c r="C24" s="10" t="s">
        <v>114</v>
      </c>
      <c r="D24" s="11" t="s">
        <v>115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25" t="s">
        <v>116</v>
      </c>
      <c r="B25" s="25" t="s">
        <v>117</v>
      </c>
      <c r="C25" s="25" t="s">
        <v>118</v>
      </c>
      <c r="D25" s="25" t="s">
        <v>119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25" t="s">
        <v>120</v>
      </c>
      <c r="B26" s="25" t="s">
        <v>121</v>
      </c>
      <c r="C26" s="25"/>
      <c r="D26" s="25" t="s">
        <v>122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25" t="s">
        <v>31</v>
      </c>
      <c r="B27" s="25" t="s">
        <v>123</v>
      </c>
      <c r="C27" s="25"/>
      <c r="D27" s="25" t="s">
        <v>124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D2"/>
    <mergeCell ref="A3:D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5B9BD5"/>
  </sheetPr>
  <dimension ref="A1:BD250"/>
  <sheetViews>
    <sheetView showGridLines="0" workbookViewId="0">
      <pane xSplit="2" ySplit="4" topLeftCell="C5" activePane="bottomRight" state="frozen"/>
      <selection pane="topRight"/>
      <selection pane="bottomLeft"/>
      <selection pane="bottomRight" activeCell="E9" sqref="E9"/>
    </sheetView>
  </sheetViews>
  <sheetFormatPr defaultRowHeight="14.25"/>
  <cols>
    <col min="1" max="1" width="8" customWidth="1"/>
    <col min="2" max="2" width="10" customWidth="1"/>
    <col min="3" max="3" width="40" customWidth="1"/>
    <col min="4" max="4" width="10" customWidth="1"/>
    <col min="5" max="6" width="12" customWidth="1"/>
    <col min="7" max="7" width="44" customWidth="1"/>
    <col min="8" max="9" width="12" customWidth="1"/>
    <col min="10" max="10" width="11" customWidth="1"/>
    <col min="11" max="12" width="12" customWidth="1"/>
    <col min="13" max="13" width="48" customWidth="1"/>
    <col min="14" max="14" width="34" customWidth="1"/>
    <col min="15" max="16" width="12" customWidth="1"/>
    <col min="17" max="17" width="18" customWidth="1"/>
    <col min="18" max="18" width="44" customWidth="1"/>
    <col min="19" max="19" width="16" customWidth="1"/>
    <col min="20" max="20" width="14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125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64" t="s">
        <v>126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127</v>
      </c>
      <c r="B4" s="10" t="s">
        <v>128</v>
      </c>
      <c r="C4" s="10" t="s">
        <v>129</v>
      </c>
      <c r="D4" s="10" t="s">
        <v>130</v>
      </c>
      <c r="E4" s="10" t="s">
        <v>131</v>
      </c>
      <c r="F4" s="10" t="s">
        <v>132</v>
      </c>
      <c r="G4" s="10" t="s">
        <v>133</v>
      </c>
      <c r="H4" s="10" t="s">
        <v>134</v>
      </c>
      <c r="I4" s="10" t="s">
        <v>135</v>
      </c>
      <c r="J4" s="10" t="s">
        <v>136</v>
      </c>
      <c r="K4" s="10" t="s">
        <v>137</v>
      </c>
      <c r="L4" s="10" t="s">
        <v>138</v>
      </c>
      <c r="M4" s="10" t="s">
        <v>139</v>
      </c>
      <c r="N4" s="10" t="s">
        <v>24</v>
      </c>
      <c r="O4" s="10" t="s">
        <v>140</v>
      </c>
      <c r="P4" s="10" t="s">
        <v>141</v>
      </c>
      <c r="Q4" s="10" t="s">
        <v>142</v>
      </c>
      <c r="R4" s="10" t="s">
        <v>143</v>
      </c>
      <c r="S4" s="10" t="s">
        <v>144</v>
      </c>
      <c r="T4" s="11" t="s">
        <v>145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25.5">
      <c r="A5" s="31">
        <v>1</v>
      </c>
      <c r="B5" s="32" t="s">
        <v>146</v>
      </c>
      <c r="C5" s="32" t="s">
        <v>147</v>
      </c>
      <c r="D5" s="32" t="s">
        <v>148</v>
      </c>
      <c r="E5" s="32" t="s">
        <v>149</v>
      </c>
      <c r="F5" s="32"/>
      <c r="G5" s="32" t="s">
        <v>150</v>
      </c>
      <c r="H5" s="32"/>
      <c r="I5" s="32"/>
      <c r="J5" s="32" t="s">
        <v>151</v>
      </c>
      <c r="K5" s="32" t="s">
        <v>152</v>
      </c>
      <c r="L5" s="32"/>
      <c r="M5" s="32" t="s">
        <v>153</v>
      </c>
      <c r="N5" s="32" t="s">
        <v>154</v>
      </c>
      <c r="O5" s="32"/>
      <c r="P5" s="32"/>
      <c r="Q5" s="32"/>
      <c r="R5" s="32" t="s">
        <v>155</v>
      </c>
      <c r="S5" s="32"/>
      <c r="T5" s="33" t="s">
        <v>156</v>
      </c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25.5">
      <c r="A6" s="34">
        <v>1</v>
      </c>
      <c r="B6" s="29" t="s">
        <v>157</v>
      </c>
      <c r="C6" s="29" t="s">
        <v>158</v>
      </c>
      <c r="D6" s="29" t="s">
        <v>148</v>
      </c>
      <c r="E6" s="29" t="s">
        <v>159</v>
      </c>
      <c r="F6" s="29"/>
      <c r="G6" s="29" t="s">
        <v>160</v>
      </c>
      <c r="H6" s="29"/>
      <c r="I6" s="29"/>
      <c r="J6" s="29" t="s">
        <v>151</v>
      </c>
      <c r="K6" s="29" t="s">
        <v>161</v>
      </c>
      <c r="L6" s="29"/>
      <c r="M6" s="29" t="s">
        <v>162</v>
      </c>
      <c r="N6" s="29" t="s">
        <v>163</v>
      </c>
      <c r="O6" s="29"/>
      <c r="P6" s="29"/>
      <c r="Q6" s="29"/>
      <c r="R6" s="29" t="s">
        <v>164</v>
      </c>
      <c r="S6" s="29"/>
      <c r="T6" s="35" t="s">
        <v>165</v>
      </c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25.5">
      <c r="A7" s="34">
        <v>2</v>
      </c>
      <c r="B7" s="29" t="s">
        <v>157</v>
      </c>
      <c r="C7" s="29" t="s">
        <v>158</v>
      </c>
      <c r="D7" s="29" t="s">
        <v>148</v>
      </c>
      <c r="E7" s="29" t="s">
        <v>166</v>
      </c>
      <c r="F7" s="29" t="s">
        <v>159</v>
      </c>
      <c r="G7" s="29" t="s">
        <v>167</v>
      </c>
      <c r="H7" s="29"/>
      <c r="I7" s="29"/>
      <c r="J7" s="29" t="s">
        <v>151</v>
      </c>
      <c r="K7" s="29" t="s">
        <v>168</v>
      </c>
      <c r="L7" s="29" t="s">
        <v>161</v>
      </c>
      <c r="M7" s="29" t="s">
        <v>169</v>
      </c>
      <c r="N7" s="29" t="s">
        <v>170</v>
      </c>
      <c r="O7" s="29"/>
      <c r="P7" s="29"/>
      <c r="Q7" s="29"/>
      <c r="R7" s="29" t="s">
        <v>171</v>
      </c>
      <c r="S7" s="29"/>
      <c r="T7" s="35" t="s">
        <v>156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34">
        <v>2</v>
      </c>
      <c r="B8" s="29" t="s">
        <v>157</v>
      </c>
      <c r="C8" s="29" t="s">
        <v>158</v>
      </c>
      <c r="D8" s="29" t="s">
        <v>148</v>
      </c>
      <c r="E8" s="29" t="s">
        <v>172</v>
      </c>
      <c r="F8" s="29" t="s">
        <v>159</v>
      </c>
      <c r="G8" s="29" t="s">
        <v>173</v>
      </c>
      <c r="H8" s="29"/>
      <c r="I8" s="29"/>
      <c r="J8" s="29" t="s">
        <v>151</v>
      </c>
      <c r="K8" s="29" t="s">
        <v>174</v>
      </c>
      <c r="L8" s="29" t="s">
        <v>161</v>
      </c>
      <c r="M8" s="29" t="s">
        <v>175</v>
      </c>
      <c r="N8" s="29" t="s">
        <v>163</v>
      </c>
      <c r="O8" s="29"/>
      <c r="P8" s="29"/>
      <c r="Q8" s="29"/>
      <c r="R8" s="29" t="s">
        <v>176</v>
      </c>
      <c r="S8" s="29"/>
      <c r="T8" s="35" t="s">
        <v>156</v>
      </c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25.5">
      <c r="A9" s="34">
        <v>2</v>
      </c>
      <c r="B9" s="29" t="s">
        <v>157</v>
      </c>
      <c r="C9" s="29" t="s">
        <v>158</v>
      </c>
      <c r="D9" s="29" t="s">
        <v>148</v>
      </c>
      <c r="E9" s="29" t="s">
        <v>177</v>
      </c>
      <c r="F9" s="29" t="s">
        <v>159</v>
      </c>
      <c r="G9" s="29" t="s">
        <v>178</v>
      </c>
      <c r="H9" s="29"/>
      <c r="I9" s="29"/>
      <c r="J9" s="29" t="s">
        <v>151</v>
      </c>
      <c r="K9" s="29" t="s">
        <v>179</v>
      </c>
      <c r="L9" s="29" t="s">
        <v>161</v>
      </c>
      <c r="M9" s="29" t="s">
        <v>180</v>
      </c>
      <c r="N9" s="29" t="s">
        <v>163</v>
      </c>
      <c r="O9" s="29"/>
      <c r="P9" s="29"/>
      <c r="Q9" s="29"/>
      <c r="R9" s="29" t="s">
        <v>181</v>
      </c>
      <c r="S9" s="29"/>
      <c r="T9" s="35" t="s">
        <v>156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34">
        <v>1</v>
      </c>
      <c r="B10" s="29" t="s">
        <v>182</v>
      </c>
      <c r="C10" s="29" t="s">
        <v>183</v>
      </c>
      <c r="D10" s="29" t="s">
        <v>148</v>
      </c>
      <c r="E10" s="29" t="s">
        <v>184</v>
      </c>
      <c r="F10" s="29"/>
      <c r="G10" s="29" t="s">
        <v>185</v>
      </c>
      <c r="H10" s="29"/>
      <c r="I10" s="29"/>
      <c r="J10" s="29" t="s">
        <v>151</v>
      </c>
      <c r="K10" s="29" t="s">
        <v>186</v>
      </c>
      <c r="L10" s="29"/>
      <c r="M10" s="29" t="s">
        <v>187</v>
      </c>
      <c r="N10" s="29" t="s">
        <v>154</v>
      </c>
      <c r="O10" s="29"/>
      <c r="P10" s="29"/>
      <c r="Q10" s="29"/>
      <c r="R10" s="29" t="s">
        <v>188</v>
      </c>
      <c r="S10" s="29"/>
      <c r="T10" s="35" t="s">
        <v>156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25.5">
      <c r="A11" s="34">
        <v>1</v>
      </c>
      <c r="B11" s="29" t="s">
        <v>189</v>
      </c>
      <c r="C11" s="29" t="s">
        <v>190</v>
      </c>
      <c r="D11" s="29" t="s">
        <v>148</v>
      </c>
      <c r="E11" s="29" t="s">
        <v>191</v>
      </c>
      <c r="F11" s="29"/>
      <c r="G11" s="29" t="s">
        <v>192</v>
      </c>
      <c r="H11" s="29"/>
      <c r="I11" s="29"/>
      <c r="J11" s="29" t="s">
        <v>151</v>
      </c>
      <c r="K11" s="29" t="s">
        <v>193</v>
      </c>
      <c r="L11" s="29"/>
      <c r="M11" s="29" t="s">
        <v>194</v>
      </c>
      <c r="N11" s="29" t="s">
        <v>195</v>
      </c>
      <c r="O11" s="29"/>
      <c r="P11" s="29"/>
      <c r="Q11" s="29" t="s">
        <v>196</v>
      </c>
      <c r="R11" s="29" t="s">
        <v>197</v>
      </c>
      <c r="S11" s="29"/>
      <c r="T11" s="35" t="s">
        <v>156</v>
      </c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25.5">
      <c r="A12" s="34">
        <v>1</v>
      </c>
      <c r="B12" s="29" t="s">
        <v>198</v>
      </c>
      <c r="C12" s="29" t="s">
        <v>199</v>
      </c>
      <c r="D12" s="29" t="s">
        <v>148</v>
      </c>
      <c r="E12" s="29" t="s">
        <v>200</v>
      </c>
      <c r="F12" s="29"/>
      <c r="G12" s="29" t="s">
        <v>201</v>
      </c>
      <c r="H12" s="29"/>
      <c r="I12" s="29"/>
      <c r="J12" s="29" t="s">
        <v>151</v>
      </c>
      <c r="K12" s="29" t="s">
        <v>202</v>
      </c>
      <c r="L12" s="29"/>
      <c r="M12" s="29" t="s">
        <v>203</v>
      </c>
      <c r="N12" s="29" t="s">
        <v>204</v>
      </c>
      <c r="O12" s="29"/>
      <c r="P12" s="29"/>
      <c r="Q12" s="29" t="s">
        <v>205</v>
      </c>
      <c r="R12" s="29" t="s">
        <v>206</v>
      </c>
      <c r="S12" s="29"/>
      <c r="T12" s="35" t="s">
        <v>156</v>
      </c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ht="25.5">
      <c r="A13" s="34">
        <v>1</v>
      </c>
      <c r="B13" s="29" t="s">
        <v>207</v>
      </c>
      <c r="C13" s="29" t="s">
        <v>208</v>
      </c>
      <c r="D13" s="29" t="s">
        <v>148</v>
      </c>
      <c r="E13" s="29" t="s">
        <v>209</v>
      </c>
      <c r="F13" s="29"/>
      <c r="G13" s="29" t="s">
        <v>210</v>
      </c>
      <c r="H13" s="29"/>
      <c r="I13" s="29"/>
      <c r="J13" s="29" t="s">
        <v>151</v>
      </c>
      <c r="K13" s="29" t="s">
        <v>211</v>
      </c>
      <c r="L13" s="29"/>
      <c r="M13" s="29" t="s">
        <v>212</v>
      </c>
      <c r="N13" s="29" t="s">
        <v>213</v>
      </c>
      <c r="O13" s="29"/>
      <c r="P13" s="29"/>
      <c r="Q13" s="29" t="s">
        <v>214</v>
      </c>
      <c r="R13" s="29" t="s">
        <v>215</v>
      </c>
      <c r="S13" s="29"/>
      <c r="T13" s="35" t="s">
        <v>156</v>
      </c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 ht="25.5">
      <c r="A14" s="34">
        <v>1</v>
      </c>
      <c r="B14" s="29" t="s">
        <v>216</v>
      </c>
      <c r="C14" s="29" t="s">
        <v>217</v>
      </c>
      <c r="D14" s="29" t="s">
        <v>218</v>
      </c>
      <c r="E14" s="29" t="s">
        <v>219</v>
      </c>
      <c r="F14" s="29"/>
      <c r="G14" s="29" t="s">
        <v>220</v>
      </c>
      <c r="H14" s="29"/>
      <c r="I14" s="29"/>
      <c r="J14" s="29" t="s">
        <v>151</v>
      </c>
      <c r="K14" s="29" t="s">
        <v>221</v>
      </c>
      <c r="L14" s="29"/>
      <c r="M14" s="29" t="s">
        <v>222</v>
      </c>
      <c r="N14" s="29" t="s">
        <v>154</v>
      </c>
      <c r="O14" s="29"/>
      <c r="P14" s="29"/>
      <c r="Q14" s="29" t="s">
        <v>223</v>
      </c>
      <c r="R14" s="29" t="s">
        <v>224</v>
      </c>
      <c r="S14" s="29"/>
      <c r="T14" s="35" t="s">
        <v>156</v>
      </c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ht="25.5">
      <c r="A15" s="34">
        <v>1</v>
      </c>
      <c r="B15" s="29" t="s">
        <v>225</v>
      </c>
      <c r="C15" s="29" t="s">
        <v>226</v>
      </c>
      <c r="D15" s="29" t="s">
        <v>148</v>
      </c>
      <c r="E15" s="29" t="s">
        <v>227</v>
      </c>
      <c r="F15" s="29"/>
      <c r="G15" s="29" t="s">
        <v>228</v>
      </c>
      <c r="H15" s="29"/>
      <c r="I15" s="29"/>
      <c r="J15" s="29" t="s">
        <v>151</v>
      </c>
      <c r="K15" s="29" t="s">
        <v>229</v>
      </c>
      <c r="L15" s="29"/>
      <c r="M15" s="29" t="s">
        <v>230</v>
      </c>
      <c r="N15" s="29" t="s">
        <v>231</v>
      </c>
      <c r="O15" s="29"/>
      <c r="P15" s="29"/>
      <c r="Q15" s="29" t="s">
        <v>232</v>
      </c>
      <c r="R15" s="29" t="s">
        <v>233</v>
      </c>
      <c r="S15" s="29"/>
      <c r="T15" s="35" t="s">
        <v>156</v>
      </c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25.5">
      <c r="A16" s="34">
        <v>1</v>
      </c>
      <c r="B16" s="29" t="s">
        <v>234</v>
      </c>
      <c r="C16" s="29" t="s">
        <v>235</v>
      </c>
      <c r="D16" s="29" t="s">
        <v>148</v>
      </c>
      <c r="E16" s="29" t="s">
        <v>236</v>
      </c>
      <c r="F16" s="29"/>
      <c r="G16" s="29" t="s">
        <v>237</v>
      </c>
      <c r="H16" s="29"/>
      <c r="I16" s="29"/>
      <c r="J16" s="29" t="s">
        <v>151</v>
      </c>
      <c r="K16" s="29" t="s">
        <v>238</v>
      </c>
      <c r="L16" s="29"/>
      <c r="M16" s="29" t="s">
        <v>239</v>
      </c>
      <c r="N16" s="29" t="s">
        <v>240</v>
      </c>
      <c r="O16" s="29"/>
      <c r="P16" s="29"/>
      <c r="Q16" s="29" t="s">
        <v>241</v>
      </c>
      <c r="R16" s="29" t="s">
        <v>242</v>
      </c>
      <c r="S16" s="29"/>
      <c r="T16" s="35" t="s">
        <v>156</v>
      </c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25.5">
      <c r="A17" s="36">
        <v>1</v>
      </c>
      <c r="B17" s="30" t="s">
        <v>243</v>
      </c>
      <c r="C17" s="30" t="s">
        <v>244</v>
      </c>
      <c r="D17" s="30" t="s">
        <v>148</v>
      </c>
      <c r="E17" s="30" t="s">
        <v>245</v>
      </c>
      <c r="F17" s="30"/>
      <c r="G17" s="30" t="s">
        <v>246</v>
      </c>
      <c r="H17" s="30"/>
      <c r="I17" s="30"/>
      <c r="J17" s="30" t="s">
        <v>151</v>
      </c>
      <c r="K17" s="30" t="s">
        <v>247</v>
      </c>
      <c r="L17" s="30"/>
      <c r="M17" s="30" t="s">
        <v>248</v>
      </c>
      <c r="N17" s="30" t="s">
        <v>249</v>
      </c>
      <c r="O17" s="30"/>
      <c r="P17" s="30"/>
      <c r="Q17" s="30" t="s">
        <v>250</v>
      </c>
      <c r="R17" s="30" t="s">
        <v>251</v>
      </c>
      <c r="S17" s="30"/>
      <c r="T17" s="37" t="s">
        <v>156</v>
      </c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9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9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9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9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9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9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9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9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9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9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9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9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9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9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9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9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9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9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9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9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9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9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9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9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9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9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9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9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9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9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9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9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9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9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9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9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9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9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9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9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9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9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22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4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T2"/>
    <mergeCell ref="A3:T3"/>
  </mergeCells>
  <dataValidations count="3">
    <dataValidation type="list" sqref="D5:D104" xr:uid="{00000000-0002-0000-0200-000000000000}">
      <formula1>"Must,Should,Could,Won't"</formula1>
    </dataValidation>
    <dataValidation type="list" sqref="T5:T104" xr:uid="{00000000-0002-0000-0200-000001000000}">
      <formula1>"Draft,Review,Approved,Decomposed,Retired"</formula1>
    </dataValidation>
    <dataValidation type="whole" sqref="A5:A104" xr:uid="{00000000-0002-0000-0200-000002000000}">
      <formula1>0</formula1>
      <formula2>15</formula2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BD250"/>
  <sheetViews>
    <sheetView showGridLines="0" workbookViewId="0">
      <pane xSplit="1" ySplit="4" topLeftCell="B5" activePane="bottomRight" state="frozen"/>
      <selection pane="topRight"/>
      <selection pane="bottomLeft"/>
      <selection pane="bottomRight" activeCell="A6" sqref="A6"/>
    </sheetView>
  </sheetViews>
  <sheetFormatPr defaultRowHeight="14.25"/>
  <cols>
    <col min="1" max="1" width="14" customWidth="1"/>
    <col min="2" max="13" width="10" customWidth="1"/>
    <col min="14" max="15" width="12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252</v>
      </c>
      <c r="B2" s="75" t="s">
        <v>21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6" t="s">
        <v>26</v>
      </c>
      <c r="B3" s="77" t="s">
        <v>27</v>
      </c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253</v>
      </c>
      <c r="B4" s="10" t="s">
        <v>152</v>
      </c>
      <c r="C4" s="10" t="s">
        <v>168</v>
      </c>
      <c r="D4" s="10" t="s">
        <v>174</v>
      </c>
      <c r="E4" s="10" t="s">
        <v>179</v>
      </c>
      <c r="F4" s="10" t="s">
        <v>186</v>
      </c>
      <c r="G4" s="10" t="s">
        <v>193</v>
      </c>
      <c r="H4" s="10" t="s">
        <v>202</v>
      </c>
      <c r="I4" s="10" t="s">
        <v>211</v>
      </c>
      <c r="J4" s="10" t="s">
        <v>221</v>
      </c>
      <c r="K4" s="10" t="s">
        <v>229</v>
      </c>
      <c r="L4" s="10" t="s">
        <v>238</v>
      </c>
      <c r="M4" s="10" t="s">
        <v>247</v>
      </c>
      <c r="N4" s="10" t="s">
        <v>254</v>
      </c>
      <c r="O4" s="11" t="s">
        <v>255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" t="s">
        <v>149</v>
      </c>
      <c r="B5" s="38" t="s">
        <v>256</v>
      </c>
      <c r="C5" s="38"/>
      <c r="D5" s="38"/>
      <c r="E5" s="38"/>
      <c r="F5" s="38"/>
      <c r="G5" s="38" t="s">
        <v>257</v>
      </c>
      <c r="H5" s="38" t="s">
        <v>257</v>
      </c>
      <c r="I5" s="38" t="s">
        <v>257</v>
      </c>
      <c r="J5" s="38"/>
      <c r="K5" s="38" t="s">
        <v>257</v>
      </c>
      <c r="L5" s="38"/>
      <c r="M5" s="38"/>
      <c r="N5" s="1">
        <v>1</v>
      </c>
      <c r="O5" s="1">
        <v>4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1" t="s">
        <v>166</v>
      </c>
      <c r="B6" s="38" t="s">
        <v>257</v>
      </c>
      <c r="C6" s="38" t="s">
        <v>256</v>
      </c>
      <c r="D6" s="38"/>
      <c r="E6" s="38"/>
      <c r="F6" s="38"/>
      <c r="G6" s="38" t="s">
        <v>257</v>
      </c>
      <c r="H6" s="38" t="s">
        <v>257</v>
      </c>
      <c r="I6" s="38" t="s">
        <v>257</v>
      </c>
      <c r="J6" s="38"/>
      <c r="K6" s="38" t="s">
        <v>257</v>
      </c>
      <c r="L6" s="38"/>
      <c r="M6" s="38"/>
      <c r="N6" s="1">
        <v>1</v>
      </c>
      <c r="O6" s="1">
        <v>5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" t="s">
        <v>172</v>
      </c>
      <c r="B7" s="38"/>
      <c r="C7" s="38"/>
      <c r="D7" s="38" t="s">
        <v>256</v>
      </c>
      <c r="E7" s="38"/>
      <c r="F7" s="38"/>
      <c r="G7" s="38" t="s">
        <v>257</v>
      </c>
      <c r="H7" s="38" t="s">
        <v>257</v>
      </c>
      <c r="I7" s="38" t="s">
        <v>257</v>
      </c>
      <c r="J7" s="38"/>
      <c r="K7" s="38" t="s">
        <v>257</v>
      </c>
      <c r="L7" s="38" t="s">
        <v>257</v>
      </c>
      <c r="M7" s="38"/>
      <c r="N7" s="1">
        <v>1</v>
      </c>
      <c r="O7" s="1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1" t="s">
        <v>177</v>
      </c>
      <c r="B8" s="38"/>
      <c r="C8" s="38"/>
      <c r="D8" s="38"/>
      <c r="E8" s="38" t="s">
        <v>256</v>
      </c>
      <c r="F8" s="38"/>
      <c r="G8" s="38" t="s">
        <v>257</v>
      </c>
      <c r="H8" s="38" t="s">
        <v>257</v>
      </c>
      <c r="I8" s="38" t="s">
        <v>257</v>
      </c>
      <c r="J8" s="38"/>
      <c r="K8" s="38" t="s">
        <v>257</v>
      </c>
      <c r="L8" s="38" t="s">
        <v>257</v>
      </c>
      <c r="M8" s="38"/>
      <c r="N8" s="1">
        <v>1</v>
      </c>
      <c r="O8" s="1">
        <v>5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" t="s">
        <v>184</v>
      </c>
      <c r="B9" s="38"/>
      <c r="C9" s="38"/>
      <c r="D9" s="38"/>
      <c r="E9" s="38"/>
      <c r="F9" s="38" t="s">
        <v>256</v>
      </c>
      <c r="G9" s="38" t="s">
        <v>257</v>
      </c>
      <c r="H9" s="38" t="s">
        <v>257</v>
      </c>
      <c r="I9" s="38" t="s">
        <v>257</v>
      </c>
      <c r="J9" s="38"/>
      <c r="K9" s="38" t="s">
        <v>257</v>
      </c>
      <c r="L9" s="38"/>
      <c r="M9" s="38"/>
      <c r="N9" s="1">
        <v>1</v>
      </c>
      <c r="O9" s="1">
        <v>4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" t="s">
        <v>191</v>
      </c>
      <c r="B10" s="38"/>
      <c r="C10" s="38"/>
      <c r="D10" s="38"/>
      <c r="E10" s="38"/>
      <c r="F10" s="38"/>
      <c r="G10" s="38" t="s">
        <v>256</v>
      </c>
      <c r="H10" s="38" t="s">
        <v>257</v>
      </c>
      <c r="I10" s="38" t="s">
        <v>257</v>
      </c>
      <c r="J10" s="38"/>
      <c r="K10" s="38" t="s">
        <v>257</v>
      </c>
      <c r="L10" s="38" t="s">
        <v>257</v>
      </c>
      <c r="M10" s="38"/>
      <c r="N10" s="1">
        <v>1</v>
      </c>
      <c r="O10" s="1">
        <v>4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" t="s">
        <v>200</v>
      </c>
      <c r="B11" s="38"/>
      <c r="C11" s="38"/>
      <c r="D11" s="38"/>
      <c r="E11" s="38"/>
      <c r="F11" s="38"/>
      <c r="G11" s="38" t="s">
        <v>257</v>
      </c>
      <c r="H11" s="38" t="s">
        <v>256</v>
      </c>
      <c r="I11" s="38" t="s">
        <v>257</v>
      </c>
      <c r="J11" s="38"/>
      <c r="K11" s="38" t="s">
        <v>257</v>
      </c>
      <c r="L11" s="38"/>
      <c r="M11" s="38" t="s">
        <v>257</v>
      </c>
      <c r="N11" s="1">
        <v>1</v>
      </c>
      <c r="O11" s="1">
        <v>4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" t="s">
        <v>209</v>
      </c>
      <c r="B12" s="38" t="s">
        <v>257</v>
      </c>
      <c r="C12" s="38" t="s">
        <v>257</v>
      </c>
      <c r="D12" s="38" t="s">
        <v>257</v>
      </c>
      <c r="E12" s="38" t="s">
        <v>257</v>
      </c>
      <c r="F12" s="38" t="s">
        <v>257</v>
      </c>
      <c r="G12" s="38" t="s">
        <v>257</v>
      </c>
      <c r="H12" s="38" t="s">
        <v>257</v>
      </c>
      <c r="I12" s="38" t="s">
        <v>256</v>
      </c>
      <c r="J12" s="38" t="s">
        <v>257</v>
      </c>
      <c r="K12" s="38" t="s">
        <v>257</v>
      </c>
      <c r="L12" s="38"/>
      <c r="M12" s="38" t="s">
        <v>257</v>
      </c>
      <c r="N12" s="1">
        <v>1</v>
      </c>
      <c r="O12" s="1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" t="s">
        <v>219</v>
      </c>
      <c r="B13" s="38"/>
      <c r="C13" s="38"/>
      <c r="D13" s="38"/>
      <c r="E13" s="38"/>
      <c r="F13" s="38"/>
      <c r="G13" s="38" t="s">
        <v>257</v>
      </c>
      <c r="H13" s="38" t="s">
        <v>257</v>
      </c>
      <c r="I13" s="38" t="s">
        <v>257</v>
      </c>
      <c r="J13" s="38" t="s">
        <v>256</v>
      </c>
      <c r="K13" s="38" t="s">
        <v>257</v>
      </c>
      <c r="L13" s="38"/>
      <c r="M13" s="38"/>
      <c r="N13" s="1">
        <v>1</v>
      </c>
      <c r="O13" s="1">
        <v>4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 t="s">
        <v>227</v>
      </c>
      <c r="B14" s="38"/>
      <c r="C14" s="38"/>
      <c r="D14" s="38"/>
      <c r="E14" s="38"/>
      <c r="F14" s="38"/>
      <c r="G14" s="38"/>
      <c r="H14" s="38" t="s">
        <v>257</v>
      </c>
      <c r="I14" s="38" t="s">
        <v>257</v>
      </c>
      <c r="J14" s="38"/>
      <c r="K14" s="38" t="s">
        <v>256</v>
      </c>
      <c r="L14" s="38"/>
      <c r="M14" s="38" t="s">
        <v>257</v>
      </c>
      <c r="N14" s="1">
        <v>1</v>
      </c>
      <c r="O14" s="1">
        <v>3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 t="s">
        <v>236</v>
      </c>
      <c r="B15" s="38"/>
      <c r="C15" s="38"/>
      <c r="D15" s="38" t="s">
        <v>257</v>
      </c>
      <c r="E15" s="38" t="s">
        <v>257</v>
      </c>
      <c r="F15" s="38"/>
      <c r="G15" s="38" t="s">
        <v>257</v>
      </c>
      <c r="H15" s="38"/>
      <c r="I15" s="38" t="s">
        <v>257</v>
      </c>
      <c r="J15" s="38"/>
      <c r="K15" s="38" t="s">
        <v>257</v>
      </c>
      <c r="L15" s="38" t="s">
        <v>256</v>
      </c>
      <c r="M15" s="38"/>
      <c r="N15" s="1">
        <v>1</v>
      </c>
      <c r="O15" s="1">
        <v>5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 t="s">
        <v>245</v>
      </c>
      <c r="B16" s="38" t="s">
        <v>257</v>
      </c>
      <c r="C16" s="38" t="s">
        <v>257</v>
      </c>
      <c r="D16" s="38" t="s">
        <v>257</v>
      </c>
      <c r="E16" s="38" t="s">
        <v>257</v>
      </c>
      <c r="F16" s="38" t="s">
        <v>257</v>
      </c>
      <c r="G16" s="38" t="s">
        <v>257</v>
      </c>
      <c r="H16" s="38" t="s">
        <v>257</v>
      </c>
      <c r="I16" s="38" t="s">
        <v>257</v>
      </c>
      <c r="J16" s="38" t="s">
        <v>257</v>
      </c>
      <c r="K16" s="38" t="s">
        <v>257</v>
      </c>
      <c r="L16" s="38" t="s">
        <v>257</v>
      </c>
      <c r="M16" s="38" t="s">
        <v>256</v>
      </c>
      <c r="N16" s="1">
        <v>1</v>
      </c>
      <c r="O16" s="1">
        <v>11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O2"/>
    <mergeCell ref="A3:O3"/>
  </mergeCells>
  <conditionalFormatting sqref="B5:M16">
    <cfRule type="containsText" dxfId="5" priority="1" operator="containsText" text="X"/>
    <cfRule type="containsText" dxfId="4" priority="2" operator="containsText" text="△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AD47"/>
  </sheetPr>
  <dimension ref="A1:BD250"/>
  <sheetViews>
    <sheetView showGridLines="0" workbookViewId="0">
      <pane xSplit="2" ySplit="4" topLeftCell="C5" activePane="bottomRight" state="frozen"/>
      <selection pane="topRight"/>
      <selection pane="bottomLeft"/>
      <selection pane="bottomRight" activeCell="C5" sqref="C5"/>
    </sheetView>
  </sheetViews>
  <sheetFormatPr defaultRowHeight="14.25"/>
  <cols>
    <col min="1" max="1" width="12" customWidth="1"/>
    <col min="2" max="2" width="48" customWidth="1"/>
    <col min="3" max="3" width="12" customWidth="1"/>
    <col min="4" max="14" width="14" customWidth="1"/>
    <col min="15" max="15" width="16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98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64" t="s">
        <v>258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ht="25.5">
      <c r="A4" s="9" t="s">
        <v>131</v>
      </c>
      <c r="B4" s="10" t="s">
        <v>133</v>
      </c>
      <c r="C4" s="10" t="s">
        <v>136</v>
      </c>
      <c r="D4" s="10" t="s">
        <v>134</v>
      </c>
      <c r="E4" s="10" t="s">
        <v>135</v>
      </c>
      <c r="F4" s="10" t="s">
        <v>259</v>
      </c>
      <c r="G4" s="10" t="s">
        <v>140</v>
      </c>
      <c r="H4" s="10" t="s">
        <v>141</v>
      </c>
      <c r="I4" s="10" t="s">
        <v>260</v>
      </c>
      <c r="J4" s="10" t="s">
        <v>261</v>
      </c>
      <c r="K4" s="10" t="s">
        <v>262</v>
      </c>
      <c r="L4" s="10" t="s">
        <v>263</v>
      </c>
      <c r="M4" s="10" t="s">
        <v>264</v>
      </c>
      <c r="N4" s="10" t="s">
        <v>265</v>
      </c>
      <c r="O4" s="11" t="s">
        <v>266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30" customHeight="1">
      <c r="A5" s="39" t="str">
        <f>IF('CN-FR-DP'!E5="","",'CN-FR-DP'!E5)</f>
        <v>FR1</v>
      </c>
      <c r="B5" s="40" t="str">
        <f>IF('CN-FR-DP'!G5="","",'CN-FR-DP'!G5)</f>
        <v>Present time, system state, and assistant output visually.</v>
      </c>
      <c r="C5" s="39" t="str">
        <f>IF('CN-FR-DP'!J5="","",'CN-FR-DP'!J5)</f>
        <v>TBC</v>
      </c>
      <c r="D5" s="41" t="str">
        <f>IF('CN-FR-DP'!H5="","",'CN-FR-DP'!H5)</f>
        <v/>
      </c>
      <c r="E5" s="41" t="str">
        <f>IF('CN-FR-DP'!I5="","",'CN-FR-DP'!I5)</f>
        <v/>
      </c>
      <c r="F5" s="41" t="str">
        <f t="shared" ref="F5:F36" si="0">IF(OR(D5="",E5=""),"",MAX(0,E5-D5))</f>
        <v/>
      </c>
      <c r="G5" s="41" t="str">
        <f>IF('CN-FR-DP'!O5="","",'CN-FR-DP'!O5)</f>
        <v/>
      </c>
      <c r="H5" s="41" t="str">
        <f>IF('CN-FR-DP'!P5="","",'CN-FR-DP'!P5)</f>
        <v/>
      </c>
      <c r="I5" s="41" t="str">
        <f t="shared" ref="I5:I36" si="1">IF(OR(G5="",H5=""),"",MAX(0,H5-G5))</f>
        <v/>
      </c>
      <c r="J5" s="41" t="str">
        <f t="shared" ref="J5:J36" si="2">IF(OR(D5="",E5="",G5="",H5=""),"",MAX(D5,G5))</f>
        <v/>
      </c>
      <c r="K5" s="41" t="str">
        <f t="shared" ref="K5:K36" si="3">IF(OR(D5="",E5="",G5="",H5=""),"",MIN(E5,H5))</f>
        <v/>
      </c>
      <c r="L5" s="41" t="str">
        <f t="shared" ref="L5:L36" si="4">IF(OR(J5="",K5=""),"",MAX(0,K5-J5))</f>
        <v/>
      </c>
      <c r="M5" s="42" t="str">
        <f t="shared" ref="M5:M36" si="5">IF(OR(F5="",L5=""),"",IF(F5=0,"",L5/F5))</f>
        <v/>
      </c>
      <c r="N5" s="41" t="str">
        <f t="shared" ref="N5:N36" si="6">IF(M5="","",IF(M5=0,"infinite",-LN(M5)/LN(2)))</f>
        <v/>
      </c>
      <c r="O5" s="39" t="str">
        <f t="shared" ref="O5:O36" si="7">IF(A5="","",IF(OR(D5="",E5="",G5="",H5=""),"TBC",IF(M5=0,"No overlap",IF(M5&gt;=0.999999,"Pass","Partial"))))</f>
        <v>TBC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30" customHeight="1">
      <c r="A6" s="43" t="str">
        <f>IF('CN-FR-DP'!E6="","",'CN-FR-DP'!E6)</f>
        <v>FR2</v>
      </c>
      <c r="B6" s="44" t="str">
        <f>IF('CN-FR-DP'!G6="","",'CN-FR-DP'!G6)</f>
        <v>Acquire deliberate user commands through supported interaction modes.</v>
      </c>
      <c r="C6" s="43" t="str">
        <f>IF('CN-FR-DP'!J6="","",'CN-FR-DP'!J6)</f>
        <v>TBC</v>
      </c>
      <c r="D6" s="45" t="str">
        <f>IF('CN-FR-DP'!H6="","",'CN-FR-DP'!H6)</f>
        <v/>
      </c>
      <c r="E6" s="45" t="str">
        <f>IF('CN-FR-DP'!I6="","",'CN-FR-DP'!I6)</f>
        <v/>
      </c>
      <c r="F6" s="45" t="str">
        <f t="shared" si="0"/>
        <v/>
      </c>
      <c r="G6" s="45" t="str">
        <f>IF('CN-FR-DP'!O6="","",'CN-FR-DP'!O6)</f>
        <v/>
      </c>
      <c r="H6" s="45" t="str">
        <f>IF('CN-FR-DP'!P6="","",'CN-FR-DP'!P6)</f>
        <v/>
      </c>
      <c r="I6" s="45" t="str">
        <f t="shared" si="1"/>
        <v/>
      </c>
      <c r="J6" s="45" t="str">
        <f t="shared" si="2"/>
        <v/>
      </c>
      <c r="K6" s="45" t="str">
        <f t="shared" si="3"/>
        <v/>
      </c>
      <c r="L6" s="45" t="str">
        <f t="shared" si="4"/>
        <v/>
      </c>
      <c r="M6" s="46" t="str">
        <f t="shared" si="5"/>
        <v/>
      </c>
      <c r="N6" s="45" t="str">
        <f t="shared" si="6"/>
        <v/>
      </c>
      <c r="O6" s="43" t="str">
        <f t="shared" si="7"/>
        <v>TBC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30" customHeight="1">
      <c r="A7" s="43" t="str">
        <f>IF('CN-FR-DP'!E7="","",'CN-FR-DP'!E7)</f>
        <v>FR2.1</v>
      </c>
      <c r="B7" s="44" t="str">
        <f>IF('CN-FR-DP'!G7="","",'CN-FR-DP'!G7)</f>
        <v>Detect intentional direct-contact commands.</v>
      </c>
      <c r="C7" s="43" t="str">
        <f>IF('CN-FR-DP'!J7="","",'CN-FR-DP'!J7)</f>
        <v>TBC</v>
      </c>
      <c r="D7" s="45" t="str">
        <f>IF('CN-FR-DP'!H7="","",'CN-FR-DP'!H7)</f>
        <v/>
      </c>
      <c r="E7" s="45" t="str">
        <f>IF('CN-FR-DP'!I7="","",'CN-FR-DP'!I7)</f>
        <v/>
      </c>
      <c r="F7" s="45" t="str">
        <f t="shared" si="0"/>
        <v/>
      </c>
      <c r="G7" s="45" t="str">
        <f>IF('CN-FR-DP'!O7="","",'CN-FR-DP'!O7)</f>
        <v/>
      </c>
      <c r="H7" s="45" t="str">
        <f>IF('CN-FR-DP'!P7="","",'CN-FR-DP'!P7)</f>
        <v/>
      </c>
      <c r="I7" s="45" t="str">
        <f t="shared" si="1"/>
        <v/>
      </c>
      <c r="J7" s="45" t="str">
        <f t="shared" si="2"/>
        <v/>
      </c>
      <c r="K7" s="45" t="str">
        <f t="shared" si="3"/>
        <v/>
      </c>
      <c r="L7" s="45" t="str">
        <f t="shared" si="4"/>
        <v/>
      </c>
      <c r="M7" s="46" t="str">
        <f t="shared" si="5"/>
        <v/>
      </c>
      <c r="N7" s="45" t="str">
        <f t="shared" si="6"/>
        <v/>
      </c>
      <c r="O7" s="43" t="str">
        <f t="shared" si="7"/>
        <v>TBC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30" customHeight="1">
      <c r="A8" s="43" t="str">
        <f>IF('CN-FR-DP'!E8="","",'CN-FR-DP'!E8)</f>
        <v>FR2.2</v>
      </c>
      <c r="B8" s="44" t="str">
        <f>IF('CN-FR-DP'!G8="","",'CN-FR-DP'!G8)</f>
        <v>Capture speech in the intended desk interaction zone.</v>
      </c>
      <c r="C8" s="43" t="str">
        <f>IF('CN-FR-DP'!J8="","",'CN-FR-DP'!J8)</f>
        <v>TBC</v>
      </c>
      <c r="D8" s="45" t="str">
        <f>IF('CN-FR-DP'!H8="","",'CN-FR-DP'!H8)</f>
        <v/>
      </c>
      <c r="E8" s="45" t="str">
        <f>IF('CN-FR-DP'!I8="","",'CN-FR-DP'!I8)</f>
        <v/>
      </c>
      <c r="F8" s="45" t="str">
        <f t="shared" si="0"/>
        <v/>
      </c>
      <c r="G8" s="45" t="str">
        <f>IF('CN-FR-DP'!O8="","",'CN-FR-DP'!O8)</f>
        <v/>
      </c>
      <c r="H8" s="45" t="str">
        <f>IF('CN-FR-DP'!P8="","",'CN-FR-DP'!P8)</f>
        <v/>
      </c>
      <c r="I8" s="45" t="str">
        <f t="shared" si="1"/>
        <v/>
      </c>
      <c r="J8" s="45" t="str">
        <f t="shared" si="2"/>
        <v/>
      </c>
      <c r="K8" s="45" t="str">
        <f t="shared" si="3"/>
        <v/>
      </c>
      <c r="L8" s="45" t="str">
        <f t="shared" si="4"/>
        <v/>
      </c>
      <c r="M8" s="46" t="str">
        <f t="shared" si="5"/>
        <v/>
      </c>
      <c r="N8" s="45" t="str">
        <f t="shared" si="6"/>
        <v/>
      </c>
      <c r="O8" s="43" t="str">
        <f t="shared" si="7"/>
        <v>TBC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30" customHeight="1">
      <c r="A9" s="43" t="str">
        <f>IF('CN-FR-DP'!E9="","",'CN-FR-DP'!E9)</f>
        <v>FR2.3</v>
      </c>
      <c r="B9" s="44" t="str">
        <f>IF('CN-FR-DP'!G9="","",'CN-FR-DP'!G9)</f>
        <v>Capture visual information for approved gesture and context functions.</v>
      </c>
      <c r="C9" s="43" t="str">
        <f>IF('CN-FR-DP'!J9="","",'CN-FR-DP'!J9)</f>
        <v>TBC</v>
      </c>
      <c r="D9" s="45" t="str">
        <f>IF('CN-FR-DP'!H9="","",'CN-FR-DP'!H9)</f>
        <v/>
      </c>
      <c r="E9" s="45" t="str">
        <f>IF('CN-FR-DP'!I9="","",'CN-FR-DP'!I9)</f>
        <v/>
      </c>
      <c r="F9" s="45" t="str">
        <f t="shared" si="0"/>
        <v/>
      </c>
      <c r="G9" s="45" t="str">
        <f>IF('CN-FR-DP'!O9="","",'CN-FR-DP'!O9)</f>
        <v/>
      </c>
      <c r="H9" s="45" t="str">
        <f>IF('CN-FR-DP'!P9="","",'CN-FR-DP'!P9)</f>
        <v/>
      </c>
      <c r="I9" s="45" t="str">
        <f t="shared" si="1"/>
        <v/>
      </c>
      <c r="J9" s="45" t="str">
        <f t="shared" si="2"/>
        <v/>
      </c>
      <c r="K9" s="45" t="str">
        <f t="shared" si="3"/>
        <v/>
      </c>
      <c r="L9" s="45" t="str">
        <f t="shared" si="4"/>
        <v/>
      </c>
      <c r="M9" s="46" t="str">
        <f t="shared" si="5"/>
        <v/>
      </c>
      <c r="N9" s="45" t="str">
        <f t="shared" si="6"/>
        <v/>
      </c>
      <c r="O9" s="43" t="str">
        <f t="shared" si="7"/>
        <v>TBC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ht="30" customHeight="1">
      <c r="A10" s="43" t="str">
        <f>IF('CN-FR-DP'!E10="","",'CN-FR-DP'!E10)</f>
        <v>FR3</v>
      </c>
      <c r="B10" s="44" t="str">
        <f>IF('CN-FR-DP'!G10="","",'CN-FR-DP'!G10)</f>
        <v>Deliver intelligible audible responses.</v>
      </c>
      <c r="C10" s="43" t="str">
        <f>IF('CN-FR-DP'!J10="","",'CN-FR-DP'!J10)</f>
        <v>TBC</v>
      </c>
      <c r="D10" s="45" t="str">
        <f>IF('CN-FR-DP'!H10="","",'CN-FR-DP'!H10)</f>
        <v/>
      </c>
      <c r="E10" s="45" t="str">
        <f>IF('CN-FR-DP'!I10="","",'CN-FR-DP'!I10)</f>
        <v/>
      </c>
      <c r="F10" s="45" t="str">
        <f t="shared" si="0"/>
        <v/>
      </c>
      <c r="G10" s="45" t="str">
        <f>IF('CN-FR-DP'!O10="","",'CN-FR-DP'!O10)</f>
        <v/>
      </c>
      <c r="H10" s="45" t="str">
        <f>IF('CN-FR-DP'!P10="","",'CN-FR-DP'!P10)</f>
        <v/>
      </c>
      <c r="I10" s="45" t="str">
        <f t="shared" si="1"/>
        <v/>
      </c>
      <c r="J10" s="45" t="str">
        <f t="shared" si="2"/>
        <v/>
      </c>
      <c r="K10" s="45" t="str">
        <f t="shared" si="3"/>
        <v/>
      </c>
      <c r="L10" s="45" t="str">
        <f t="shared" si="4"/>
        <v/>
      </c>
      <c r="M10" s="46" t="str">
        <f t="shared" si="5"/>
        <v/>
      </c>
      <c r="N10" s="45" t="str">
        <f t="shared" si="6"/>
        <v/>
      </c>
      <c r="O10" s="43" t="str">
        <f t="shared" si="7"/>
        <v>TBC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30" customHeight="1">
      <c r="A11" s="43" t="str">
        <f>IF('CN-FR-DP'!E11="","",'CN-FR-DP'!E11)</f>
        <v>FR4</v>
      </c>
      <c r="B11" s="44" t="str">
        <f>IF('CN-FR-DP'!G11="","",'CN-FR-DP'!G11)</f>
        <v>Execute portable assistant functions and preserve transferable state.</v>
      </c>
      <c r="C11" s="43" t="str">
        <f>IF('CN-FR-DP'!J11="","",'CN-FR-DP'!J11)</f>
        <v>TBC</v>
      </c>
      <c r="D11" s="45" t="str">
        <f>IF('CN-FR-DP'!H11="","",'CN-FR-DP'!H11)</f>
        <v/>
      </c>
      <c r="E11" s="45" t="str">
        <f>IF('CN-FR-DP'!I11="","",'CN-FR-DP'!I11)</f>
        <v/>
      </c>
      <c r="F11" s="45" t="str">
        <f t="shared" si="0"/>
        <v/>
      </c>
      <c r="G11" s="45" t="str">
        <f>IF('CN-FR-DP'!O11="","",'CN-FR-DP'!O11)</f>
        <v/>
      </c>
      <c r="H11" s="45" t="str">
        <f>IF('CN-FR-DP'!P11="","",'CN-FR-DP'!P11)</f>
        <v/>
      </c>
      <c r="I11" s="45" t="str">
        <f t="shared" si="1"/>
        <v/>
      </c>
      <c r="J11" s="45" t="str">
        <f t="shared" si="2"/>
        <v/>
      </c>
      <c r="K11" s="45" t="str">
        <f t="shared" si="3"/>
        <v/>
      </c>
      <c r="L11" s="45" t="str">
        <f t="shared" si="4"/>
        <v/>
      </c>
      <c r="M11" s="46" t="str">
        <f t="shared" si="5"/>
        <v/>
      </c>
      <c r="N11" s="45" t="str">
        <f t="shared" si="6"/>
        <v/>
      </c>
      <c r="O11" s="43" t="str">
        <f t="shared" si="7"/>
        <v>TBC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30" customHeight="1">
      <c r="A12" s="43" t="str">
        <f>IF('CN-FR-DP'!E12="","",'CN-FR-DP'!E12)</f>
        <v>FR5</v>
      </c>
      <c r="B12" s="44" t="str">
        <f>IF('CN-FR-DP'!G12="","",'CN-FR-DP'!G12)</f>
        <v>Exchange required power and information between core and host.</v>
      </c>
      <c r="C12" s="43" t="str">
        <f>IF('CN-FR-DP'!J12="","",'CN-FR-DP'!J12)</f>
        <v>TBC</v>
      </c>
      <c r="D12" s="45" t="str">
        <f>IF('CN-FR-DP'!H12="","",'CN-FR-DP'!H12)</f>
        <v/>
      </c>
      <c r="E12" s="45" t="str">
        <f>IF('CN-FR-DP'!I12="","",'CN-FR-DP'!I12)</f>
        <v/>
      </c>
      <c r="F12" s="45" t="str">
        <f t="shared" si="0"/>
        <v/>
      </c>
      <c r="G12" s="45" t="str">
        <f>IF('CN-FR-DP'!O12="","",'CN-FR-DP'!O12)</f>
        <v/>
      </c>
      <c r="H12" s="45" t="str">
        <f>IF('CN-FR-DP'!P12="","",'CN-FR-DP'!P12)</f>
        <v/>
      </c>
      <c r="I12" s="45" t="str">
        <f t="shared" si="1"/>
        <v/>
      </c>
      <c r="J12" s="45" t="str">
        <f t="shared" si="2"/>
        <v/>
      </c>
      <c r="K12" s="45" t="str">
        <f t="shared" si="3"/>
        <v/>
      </c>
      <c r="L12" s="45" t="str">
        <f t="shared" si="4"/>
        <v/>
      </c>
      <c r="M12" s="46" t="str">
        <f t="shared" si="5"/>
        <v/>
      </c>
      <c r="N12" s="45" t="str">
        <f t="shared" si="6"/>
        <v/>
      </c>
      <c r="O12" s="43" t="str">
        <f t="shared" si="7"/>
        <v>TBC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ht="30" customHeight="1">
      <c r="A13" s="43" t="str">
        <f>IF('CN-FR-DP'!E13="","",'CN-FR-DP'!E13)</f>
        <v>FR6</v>
      </c>
      <c r="B13" s="44" t="str">
        <f>IF('CN-FR-DP'!G13="","",'CN-FR-DP'!G13)</f>
        <v>Store, convert, distribute, and supervise energy in every state.</v>
      </c>
      <c r="C13" s="43" t="str">
        <f>IF('CN-FR-DP'!J13="","",'CN-FR-DP'!J13)</f>
        <v>TBC</v>
      </c>
      <c r="D13" s="45" t="str">
        <f>IF('CN-FR-DP'!H13="","",'CN-FR-DP'!H13)</f>
        <v/>
      </c>
      <c r="E13" s="45" t="str">
        <f>IF('CN-FR-DP'!I13="","",'CN-FR-DP'!I13)</f>
        <v/>
      </c>
      <c r="F13" s="45" t="str">
        <f t="shared" si="0"/>
        <v/>
      </c>
      <c r="G13" s="45" t="str">
        <f>IF('CN-FR-DP'!O13="","",'CN-FR-DP'!O13)</f>
        <v/>
      </c>
      <c r="H13" s="45" t="str">
        <f>IF('CN-FR-DP'!P13="","",'CN-FR-DP'!P13)</f>
        <v/>
      </c>
      <c r="I13" s="45" t="str">
        <f t="shared" si="1"/>
        <v/>
      </c>
      <c r="J13" s="45" t="str">
        <f t="shared" si="2"/>
        <v/>
      </c>
      <c r="K13" s="45" t="str">
        <f t="shared" si="3"/>
        <v/>
      </c>
      <c r="L13" s="45" t="str">
        <f t="shared" si="4"/>
        <v/>
      </c>
      <c r="M13" s="46" t="str">
        <f t="shared" si="5"/>
        <v/>
      </c>
      <c r="N13" s="45" t="str">
        <f t="shared" si="6"/>
        <v/>
      </c>
      <c r="O13" s="43" t="str">
        <f t="shared" si="7"/>
        <v>TBC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 ht="30" customHeight="1">
      <c r="A14" s="43" t="str">
        <f>IF('CN-FR-DP'!E14="","",'CN-FR-DP'!E14)</f>
        <v>FR7</v>
      </c>
      <c r="B14" s="44" t="str">
        <f>IF('CN-FR-DP'!G14="","",'CN-FR-DP'!G14)</f>
        <v>Determine motion, orientation, and relevant ambient conditions.</v>
      </c>
      <c r="C14" s="43" t="str">
        <f>IF('CN-FR-DP'!J14="","",'CN-FR-DP'!J14)</f>
        <v>TBC</v>
      </c>
      <c r="D14" s="45" t="str">
        <f>IF('CN-FR-DP'!H14="","",'CN-FR-DP'!H14)</f>
        <v/>
      </c>
      <c r="E14" s="45" t="str">
        <f>IF('CN-FR-DP'!I14="","",'CN-FR-DP'!I14)</f>
        <v/>
      </c>
      <c r="F14" s="45" t="str">
        <f t="shared" si="0"/>
        <v/>
      </c>
      <c r="G14" s="45" t="str">
        <f>IF('CN-FR-DP'!O14="","",'CN-FR-DP'!O14)</f>
        <v/>
      </c>
      <c r="H14" s="45" t="str">
        <f>IF('CN-FR-DP'!P14="","",'CN-FR-DP'!P14)</f>
        <v/>
      </c>
      <c r="I14" s="45" t="str">
        <f t="shared" si="1"/>
        <v/>
      </c>
      <c r="J14" s="45" t="str">
        <f t="shared" si="2"/>
        <v/>
      </c>
      <c r="K14" s="45" t="str">
        <f t="shared" si="3"/>
        <v/>
      </c>
      <c r="L14" s="45" t="str">
        <f t="shared" si="4"/>
        <v/>
      </c>
      <c r="M14" s="46" t="str">
        <f t="shared" si="5"/>
        <v/>
      </c>
      <c r="N14" s="45" t="str">
        <f t="shared" si="6"/>
        <v/>
      </c>
      <c r="O14" s="43" t="str">
        <f t="shared" si="7"/>
        <v>TBC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ht="30" customHeight="1">
      <c r="A15" s="43" t="str">
        <f>IF('CN-FR-DP'!E15="","",'CN-FR-DP'!E15)</f>
        <v>FR8</v>
      </c>
      <c r="B15" s="44" t="str">
        <f>IF('CN-FR-DP'!G15="","",'CN-FR-DP'!G15)</f>
        <v>Support, align, protect, and orient the product during normal use.</v>
      </c>
      <c r="C15" s="43" t="str">
        <f>IF('CN-FR-DP'!J15="","",'CN-FR-DP'!J15)</f>
        <v>TBC</v>
      </c>
      <c r="D15" s="45" t="str">
        <f>IF('CN-FR-DP'!H15="","",'CN-FR-DP'!H15)</f>
        <v/>
      </c>
      <c r="E15" s="45" t="str">
        <f>IF('CN-FR-DP'!I15="","",'CN-FR-DP'!I15)</f>
        <v/>
      </c>
      <c r="F15" s="45" t="str">
        <f t="shared" si="0"/>
        <v/>
      </c>
      <c r="G15" s="45" t="str">
        <f>IF('CN-FR-DP'!O15="","",'CN-FR-DP'!O15)</f>
        <v/>
      </c>
      <c r="H15" s="45" t="str">
        <f>IF('CN-FR-DP'!P15="","",'CN-FR-DP'!P15)</f>
        <v/>
      </c>
      <c r="I15" s="45" t="str">
        <f t="shared" si="1"/>
        <v/>
      </c>
      <c r="J15" s="45" t="str">
        <f t="shared" si="2"/>
        <v/>
      </c>
      <c r="K15" s="45" t="str">
        <f t="shared" si="3"/>
        <v/>
      </c>
      <c r="L15" s="45" t="str">
        <f t="shared" si="4"/>
        <v/>
      </c>
      <c r="M15" s="46" t="str">
        <f t="shared" si="5"/>
        <v/>
      </c>
      <c r="N15" s="45" t="str">
        <f t="shared" si="6"/>
        <v/>
      </c>
      <c r="O15" s="43" t="str">
        <f t="shared" si="7"/>
        <v>TBC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30" customHeight="1">
      <c r="A16" s="43" t="str">
        <f>IF('CN-FR-DP'!E16="","",'CN-FR-DP'!E16)</f>
        <v>FR9</v>
      </c>
      <c r="B16" s="44" t="str">
        <f>IF('CN-FR-DP'!G16="","",'CN-FR-DP'!G16)</f>
        <v>Prevent or clearly indicate unintended audio and image capture.</v>
      </c>
      <c r="C16" s="43" t="str">
        <f>IF('CN-FR-DP'!J16="","",'CN-FR-DP'!J16)</f>
        <v>TBC</v>
      </c>
      <c r="D16" s="45" t="str">
        <f>IF('CN-FR-DP'!H16="","",'CN-FR-DP'!H16)</f>
        <v/>
      </c>
      <c r="E16" s="45" t="str">
        <f>IF('CN-FR-DP'!I16="","",'CN-FR-DP'!I16)</f>
        <v/>
      </c>
      <c r="F16" s="45" t="str">
        <f t="shared" si="0"/>
        <v/>
      </c>
      <c r="G16" s="45" t="str">
        <f>IF('CN-FR-DP'!O16="","",'CN-FR-DP'!O16)</f>
        <v/>
      </c>
      <c r="H16" s="45" t="str">
        <f>IF('CN-FR-DP'!P16="","",'CN-FR-DP'!P16)</f>
        <v/>
      </c>
      <c r="I16" s="45" t="str">
        <f t="shared" si="1"/>
        <v/>
      </c>
      <c r="J16" s="45" t="str">
        <f t="shared" si="2"/>
        <v/>
      </c>
      <c r="K16" s="45" t="str">
        <f t="shared" si="3"/>
        <v/>
      </c>
      <c r="L16" s="45" t="str">
        <f t="shared" si="4"/>
        <v/>
      </c>
      <c r="M16" s="46" t="str">
        <f t="shared" si="5"/>
        <v/>
      </c>
      <c r="N16" s="45" t="str">
        <f t="shared" si="6"/>
        <v/>
      </c>
      <c r="O16" s="43" t="str">
        <f t="shared" si="7"/>
        <v>TBC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30" customHeight="1">
      <c r="A17" s="43" t="str">
        <f>IF('CN-FR-DP'!E17="","",'CN-FR-DP'!E17)</f>
        <v>FR10</v>
      </c>
      <c r="B17" s="44" t="str">
        <f>IF('CN-FR-DP'!G17="","",'CN-FR-DP'!G17)</f>
        <v>Permit core removal and module service without product damage.</v>
      </c>
      <c r="C17" s="43" t="str">
        <f>IF('CN-FR-DP'!J17="","",'CN-FR-DP'!J17)</f>
        <v>TBC</v>
      </c>
      <c r="D17" s="45" t="str">
        <f>IF('CN-FR-DP'!H17="","",'CN-FR-DP'!H17)</f>
        <v/>
      </c>
      <c r="E17" s="45" t="str">
        <f>IF('CN-FR-DP'!I17="","",'CN-FR-DP'!I17)</f>
        <v/>
      </c>
      <c r="F17" s="45" t="str">
        <f t="shared" si="0"/>
        <v/>
      </c>
      <c r="G17" s="45" t="str">
        <f>IF('CN-FR-DP'!O17="","",'CN-FR-DP'!O17)</f>
        <v/>
      </c>
      <c r="H17" s="45" t="str">
        <f>IF('CN-FR-DP'!P17="","",'CN-FR-DP'!P17)</f>
        <v/>
      </c>
      <c r="I17" s="45" t="str">
        <f t="shared" si="1"/>
        <v/>
      </c>
      <c r="J17" s="45" t="str">
        <f t="shared" si="2"/>
        <v/>
      </c>
      <c r="K17" s="45" t="str">
        <f t="shared" si="3"/>
        <v/>
      </c>
      <c r="L17" s="45" t="str">
        <f t="shared" si="4"/>
        <v/>
      </c>
      <c r="M17" s="46" t="str">
        <f t="shared" si="5"/>
        <v/>
      </c>
      <c r="N17" s="45" t="str">
        <f t="shared" si="6"/>
        <v/>
      </c>
      <c r="O17" s="43" t="str">
        <f t="shared" si="7"/>
        <v>TBC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ht="30" customHeight="1">
      <c r="A18" s="43" t="str">
        <f>IF('CN-FR-DP'!E18="","",'CN-FR-DP'!E18)</f>
        <v/>
      </c>
      <c r="B18" s="44" t="str">
        <f>IF('CN-FR-DP'!G18="","",'CN-FR-DP'!G18)</f>
        <v/>
      </c>
      <c r="C18" s="43" t="str">
        <f>IF('CN-FR-DP'!J18="","",'CN-FR-DP'!J18)</f>
        <v/>
      </c>
      <c r="D18" s="45" t="str">
        <f>IF('CN-FR-DP'!H18="","",'CN-FR-DP'!H18)</f>
        <v/>
      </c>
      <c r="E18" s="45" t="str">
        <f>IF('CN-FR-DP'!I18="","",'CN-FR-DP'!I18)</f>
        <v/>
      </c>
      <c r="F18" s="45" t="str">
        <f t="shared" si="0"/>
        <v/>
      </c>
      <c r="G18" s="45" t="str">
        <f>IF('CN-FR-DP'!O18="","",'CN-FR-DP'!O18)</f>
        <v/>
      </c>
      <c r="H18" s="45" t="str">
        <f>IF('CN-FR-DP'!P18="","",'CN-FR-DP'!P18)</f>
        <v/>
      </c>
      <c r="I18" s="45" t="str">
        <f t="shared" si="1"/>
        <v/>
      </c>
      <c r="J18" s="45" t="str">
        <f t="shared" si="2"/>
        <v/>
      </c>
      <c r="K18" s="45" t="str">
        <f t="shared" si="3"/>
        <v/>
      </c>
      <c r="L18" s="45" t="str">
        <f t="shared" si="4"/>
        <v/>
      </c>
      <c r="M18" s="46" t="str">
        <f t="shared" si="5"/>
        <v/>
      </c>
      <c r="N18" s="45" t="str">
        <f t="shared" si="6"/>
        <v/>
      </c>
      <c r="O18" s="43" t="str">
        <f t="shared" si="7"/>
        <v/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 ht="30" customHeight="1">
      <c r="A19" s="43" t="str">
        <f>IF('CN-FR-DP'!E19="","",'CN-FR-DP'!E19)</f>
        <v/>
      </c>
      <c r="B19" s="44" t="str">
        <f>IF('CN-FR-DP'!G19="","",'CN-FR-DP'!G19)</f>
        <v/>
      </c>
      <c r="C19" s="43" t="str">
        <f>IF('CN-FR-DP'!J19="","",'CN-FR-DP'!J19)</f>
        <v/>
      </c>
      <c r="D19" s="45" t="str">
        <f>IF('CN-FR-DP'!H19="","",'CN-FR-DP'!H19)</f>
        <v/>
      </c>
      <c r="E19" s="45" t="str">
        <f>IF('CN-FR-DP'!I19="","",'CN-FR-DP'!I19)</f>
        <v/>
      </c>
      <c r="F19" s="45" t="str">
        <f t="shared" si="0"/>
        <v/>
      </c>
      <c r="G19" s="45" t="str">
        <f>IF('CN-FR-DP'!O19="","",'CN-FR-DP'!O19)</f>
        <v/>
      </c>
      <c r="H19" s="45" t="str">
        <f>IF('CN-FR-DP'!P19="","",'CN-FR-DP'!P19)</f>
        <v/>
      </c>
      <c r="I19" s="45" t="str">
        <f t="shared" si="1"/>
        <v/>
      </c>
      <c r="J19" s="45" t="str">
        <f t="shared" si="2"/>
        <v/>
      </c>
      <c r="K19" s="45" t="str">
        <f t="shared" si="3"/>
        <v/>
      </c>
      <c r="L19" s="45" t="str">
        <f t="shared" si="4"/>
        <v/>
      </c>
      <c r="M19" s="46" t="str">
        <f t="shared" si="5"/>
        <v/>
      </c>
      <c r="N19" s="45" t="str">
        <f t="shared" si="6"/>
        <v/>
      </c>
      <c r="O19" s="43" t="str">
        <f t="shared" si="7"/>
        <v/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 ht="30" customHeight="1">
      <c r="A20" s="43" t="str">
        <f>IF('CN-FR-DP'!E20="","",'CN-FR-DP'!E20)</f>
        <v/>
      </c>
      <c r="B20" s="44" t="str">
        <f>IF('CN-FR-DP'!G20="","",'CN-FR-DP'!G20)</f>
        <v/>
      </c>
      <c r="C20" s="43" t="str">
        <f>IF('CN-FR-DP'!J20="","",'CN-FR-DP'!J20)</f>
        <v/>
      </c>
      <c r="D20" s="45" t="str">
        <f>IF('CN-FR-DP'!H20="","",'CN-FR-DP'!H20)</f>
        <v/>
      </c>
      <c r="E20" s="45" t="str">
        <f>IF('CN-FR-DP'!I20="","",'CN-FR-DP'!I20)</f>
        <v/>
      </c>
      <c r="F20" s="45" t="str">
        <f t="shared" si="0"/>
        <v/>
      </c>
      <c r="G20" s="45" t="str">
        <f>IF('CN-FR-DP'!O20="","",'CN-FR-DP'!O20)</f>
        <v/>
      </c>
      <c r="H20" s="45" t="str">
        <f>IF('CN-FR-DP'!P20="","",'CN-FR-DP'!P20)</f>
        <v/>
      </c>
      <c r="I20" s="45" t="str">
        <f t="shared" si="1"/>
        <v/>
      </c>
      <c r="J20" s="45" t="str">
        <f t="shared" si="2"/>
        <v/>
      </c>
      <c r="K20" s="45" t="str">
        <f t="shared" si="3"/>
        <v/>
      </c>
      <c r="L20" s="45" t="str">
        <f t="shared" si="4"/>
        <v/>
      </c>
      <c r="M20" s="46" t="str">
        <f t="shared" si="5"/>
        <v/>
      </c>
      <c r="N20" s="45" t="str">
        <f t="shared" si="6"/>
        <v/>
      </c>
      <c r="O20" s="43" t="str">
        <f t="shared" si="7"/>
        <v/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 ht="30" customHeight="1">
      <c r="A21" s="43" t="str">
        <f>IF('CN-FR-DP'!E21="","",'CN-FR-DP'!E21)</f>
        <v/>
      </c>
      <c r="B21" s="44" t="str">
        <f>IF('CN-FR-DP'!G21="","",'CN-FR-DP'!G21)</f>
        <v/>
      </c>
      <c r="C21" s="43" t="str">
        <f>IF('CN-FR-DP'!J21="","",'CN-FR-DP'!J21)</f>
        <v/>
      </c>
      <c r="D21" s="45" t="str">
        <f>IF('CN-FR-DP'!H21="","",'CN-FR-DP'!H21)</f>
        <v/>
      </c>
      <c r="E21" s="45" t="str">
        <f>IF('CN-FR-DP'!I21="","",'CN-FR-DP'!I21)</f>
        <v/>
      </c>
      <c r="F21" s="45" t="str">
        <f t="shared" si="0"/>
        <v/>
      </c>
      <c r="G21" s="45" t="str">
        <f>IF('CN-FR-DP'!O21="","",'CN-FR-DP'!O21)</f>
        <v/>
      </c>
      <c r="H21" s="45" t="str">
        <f>IF('CN-FR-DP'!P21="","",'CN-FR-DP'!P21)</f>
        <v/>
      </c>
      <c r="I21" s="45" t="str">
        <f t="shared" si="1"/>
        <v/>
      </c>
      <c r="J21" s="45" t="str">
        <f t="shared" si="2"/>
        <v/>
      </c>
      <c r="K21" s="45" t="str">
        <f t="shared" si="3"/>
        <v/>
      </c>
      <c r="L21" s="45" t="str">
        <f t="shared" si="4"/>
        <v/>
      </c>
      <c r="M21" s="46" t="str">
        <f t="shared" si="5"/>
        <v/>
      </c>
      <c r="N21" s="45" t="str">
        <f t="shared" si="6"/>
        <v/>
      </c>
      <c r="O21" s="43" t="str">
        <f t="shared" si="7"/>
        <v/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 ht="30" customHeight="1">
      <c r="A22" s="43" t="str">
        <f>IF('CN-FR-DP'!E22="","",'CN-FR-DP'!E22)</f>
        <v/>
      </c>
      <c r="B22" s="44" t="str">
        <f>IF('CN-FR-DP'!G22="","",'CN-FR-DP'!G22)</f>
        <v/>
      </c>
      <c r="C22" s="43" t="str">
        <f>IF('CN-FR-DP'!J22="","",'CN-FR-DP'!J22)</f>
        <v/>
      </c>
      <c r="D22" s="45" t="str">
        <f>IF('CN-FR-DP'!H22="","",'CN-FR-DP'!H22)</f>
        <v/>
      </c>
      <c r="E22" s="45" t="str">
        <f>IF('CN-FR-DP'!I22="","",'CN-FR-DP'!I22)</f>
        <v/>
      </c>
      <c r="F22" s="45" t="str">
        <f t="shared" si="0"/>
        <v/>
      </c>
      <c r="G22" s="45" t="str">
        <f>IF('CN-FR-DP'!O22="","",'CN-FR-DP'!O22)</f>
        <v/>
      </c>
      <c r="H22" s="45" t="str">
        <f>IF('CN-FR-DP'!P22="","",'CN-FR-DP'!P22)</f>
        <v/>
      </c>
      <c r="I22" s="45" t="str">
        <f t="shared" si="1"/>
        <v/>
      </c>
      <c r="J22" s="45" t="str">
        <f t="shared" si="2"/>
        <v/>
      </c>
      <c r="K22" s="45" t="str">
        <f t="shared" si="3"/>
        <v/>
      </c>
      <c r="L22" s="45" t="str">
        <f t="shared" si="4"/>
        <v/>
      </c>
      <c r="M22" s="46" t="str">
        <f t="shared" si="5"/>
        <v/>
      </c>
      <c r="N22" s="45" t="str">
        <f t="shared" si="6"/>
        <v/>
      </c>
      <c r="O22" s="43" t="str">
        <f t="shared" si="7"/>
        <v/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 ht="30" customHeight="1">
      <c r="A23" s="43" t="str">
        <f>IF('CN-FR-DP'!E23="","",'CN-FR-DP'!E23)</f>
        <v/>
      </c>
      <c r="B23" s="44" t="str">
        <f>IF('CN-FR-DP'!G23="","",'CN-FR-DP'!G23)</f>
        <v/>
      </c>
      <c r="C23" s="43" t="str">
        <f>IF('CN-FR-DP'!J23="","",'CN-FR-DP'!J23)</f>
        <v/>
      </c>
      <c r="D23" s="45" t="str">
        <f>IF('CN-FR-DP'!H23="","",'CN-FR-DP'!H23)</f>
        <v/>
      </c>
      <c r="E23" s="45" t="str">
        <f>IF('CN-FR-DP'!I23="","",'CN-FR-DP'!I23)</f>
        <v/>
      </c>
      <c r="F23" s="45" t="str">
        <f t="shared" si="0"/>
        <v/>
      </c>
      <c r="G23" s="45" t="str">
        <f>IF('CN-FR-DP'!O23="","",'CN-FR-DP'!O23)</f>
        <v/>
      </c>
      <c r="H23" s="45" t="str">
        <f>IF('CN-FR-DP'!P23="","",'CN-FR-DP'!P23)</f>
        <v/>
      </c>
      <c r="I23" s="45" t="str">
        <f t="shared" si="1"/>
        <v/>
      </c>
      <c r="J23" s="45" t="str">
        <f t="shared" si="2"/>
        <v/>
      </c>
      <c r="K23" s="45" t="str">
        <f t="shared" si="3"/>
        <v/>
      </c>
      <c r="L23" s="45" t="str">
        <f t="shared" si="4"/>
        <v/>
      </c>
      <c r="M23" s="46" t="str">
        <f t="shared" si="5"/>
        <v/>
      </c>
      <c r="N23" s="45" t="str">
        <f t="shared" si="6"/>
        <v/>
      </c>
      <c r="O23" s="43" t="str">
        <f t="shared" si="7"/>
        <v/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 ht="30" customHeight="1">
      <c r="A24" s="43" t="str">
        <f>IF('CN-FR-DP'!E24="","",'CN-FR-DP'!E24)</f>
        <v/>
      </c>
      <c r="B24" s="44" t="str">
        <f>IF('CN-FR-DP'!G24="","",'CN-FR-DP'!G24)</f>
        <v/>
      </c>
      <c r="C24" s="43" t="str">
        <f>IF('CN-FR-DP'!J24="","",'CN-FR-DP'!J24)</f>
        <v/>
      </c>
      <c r="D24" s="45" t="str">
        <f>IF('CN-FR-DP'!H24="","",'CN-FR-DP'!H24)</f>
        <v/>
      </c>
      <c r="E24" s="45" t="str">
        <f>IF('CN-FR-DP'!I24="","",'CN-FR-DP'!I24)</f>
        <v/>
      </c>
      <c r="F24" s="45" t="str">
        <f t="shared" si="0"/>
        <v/>
      </c>
      <c r="G24" s="45" t="str">
        <f>IF('CN-FR-DP'!O24="","",'CN-FR-DP'!O24)</f>
        <v/>
      </c>
      <c r="H24" s="45" t="str">
        <f>IF('CN-FR-DP'!P24="","",'CN-FR-DP'!P24)</f>
        <v/>
      </c>
      <c r="I24" s="45" t="str">
        <f t="shared" si="1"/>
        <v/>
      </c>
      <c r="J24" s="45" t="str">
        <f t="shared" si="2"/>
        <v/>
      </c>
      <c r="K24" s="45" t="str">
        <f t="shared" si="3"/>
        <v/>
      </c>
      <c r="L24" s="45" t="str">
        <f t="shared" si="4"/>
        <v/>
      </c>
      <c r="M24" s="46" t="str">
        <f t="shared" si="5"/>
        <v/>
      </c>
      <c r="N24" s="45" t="str">
        <f t="shared" si="6"/>
        <v/>
      </c>
      <c r="O24" s="43" t="str">
        <f t="shared" si="7"/>
        <v/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 ht="30" customHeight="1">
      <c r="A25" s="43" t="str">
        <f>IF('CN-FR-DP'!E25="","",'CN-FR-DP'!E25)</f>
        <v/>
      </c>
      <c r="B25" s="44" t="str">
        <f>IF('CN-FR-DP'!G25="","",'CN-FR-DP'!G25)</f>
        <v/>
      </c>
      <c r="C25" s="43" t="str">
        <f>IF('CN-FR-DP'!J25="","",'CN-FR-DP'!J25)</f>
        <v/>
      </c>
      <c r="D25" s="45" t="str">
        <f>IF('CN-FR-DP'!H25="","",'CN-FR-DP'!H25)</f>
        <v/>
      </c>
      <c r="E25" s="45" t="str">
        <f>IF('CN-FR-DP'!I25="","",'CN-FR-DP'!I25)</f>
        <v/>
      </c>
      <c r="F25" s="45" t="str">
        <f t="shared" si="0"/>
        <v/>
      </c>
      <c r="G25" s="45" t="str">
        <f>IF('CN-FR-DP'!O25="","",'CN-FR-DP'!O25)</f>
        <v/>
      </c>
      <c r="H25" s="45" t="str">
        <f>IF('CN-FR-DP'!P25="","",'CN-FR-DP'!P25)</f>
        <v/>
      </c>
      <c r="I25" s="45" t="str">
        <f t="shared" si="1"/>
        <v/>
      </c>
      <c r="J25" s="45" t="str">
        <f t="shared" si="2"/>
        <v/>
      </c>
      <c r="K25" s="45" t="str">
        <f t="shared" si="3"/>
        <v/>
      </c>
      <c r="L25" s="45" t="str">
        <f t="shared" si="4"/>
        <v/>
      </c>
      <c r="M25" s="46" t="str">
        <f t="shared" si="5"/>
        <v/>
      </c>
      <c r="N25" s="45" t="str">
        <f t="shared" si="6"/>
        <v/>
      </c>
      <c r="O25" s="43" t="str">
        <f t="shared" si="7"/>
        <v/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 ht="30" customHeight="1">
      <c r="A26" s="43" t="str">
        <f>IF('CN-FR-DP'!E26="","",'CN-FR-DP'!E26)</f>
        <v/>
      </c>
      <c r="B26" s="44" t="str">
        <f>IF('CN-FR-DP'!G26="","",'CN-FR-DP'!G26)</f>
        <v/>
      </c>
      <c r="C26" s="43" t="str">
        <f>IF('CN-FR-DP'!J26="","",'CN-FR-DP'!J26)</f>
        <v/>
      </c>
      <c r="D26" s="45" t="str">
        <f>IF('CN-FR-DP'!H26="","",'CN-FR-DP'!H26)</f>
        <v/>
      </c>
      <c r="E26" s="45" t="str">
        <f>IF('CN-FR-DP'!I26="","",'CN-FR-DP'!I26)</f>
        <v/>
      </c>
      <c r="F26" s="45" t="str">
        <f t="shared" si="0"/>
        <v/>
      </c>
      <c r="G26" s="45" t="str">
        <f>IF('CN-FR-DP'!O26="","",'CN-FR-DP'!O26)</f>
        <v/>
      </c>
      <c r="H26" s="45" t="str">
        <f>IF('CN-FR-DP'!P26="","",'CN-FR-DP'!P26)</f>
        <v/>
      </c>
      <c r="I26" s="45" t="str">
        <f t="shared" si="1"/>
        <v/>
      </c>
      <c r="J26" s="45" t="str">
        <f t="shared" si="2"/>
        <v/>
      </c>
      <c r="K26" s="45" t="str">
        <f t="shared" si="3"/>
        <v/>
      </c>
      <c r="L26" s="45" t="str">
        <f t="shared" si="4"/>
        <v/>
      </c>
      <c r="M26" s="46" t="str">
        <f t="shared" si="5"/>
        <v/>
      </c>
      <c r="N26" s="45" t="str">
        <f t="shared" si="6"/>
        <v/>
      </c>
      <c r="O26" s="43" t="str">
        <f t="shared" si="7"/>
        <v/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 ht="30" customHeight="1">
      <c r="A27" s="43" t="str">
        <f>IF('CN-FR-DP'!E27="","",'CN-FR-DP'!E27)</f>
        <v/>
      </c>
      <c r="B27" s="44" t="str">
        <f>IF('CN-FR-DP'!G27="","",'CN-FR-DP'!G27)</f>
        <v/>
      </c>
      <c r="C27" s="43" t="str">
        <f>IF('CN-FR-DP'!J27="","",'CN-FR-DP'!J27)</f>
        <v/>
      </c>
      <c r="D27" s="45" t="str">
        <f>IF('CN-FR-DP'!H27="","",'CN-FR-DP'!H27)</f>
        <v/>
      </c>
      <c r="E27" s="45" t="str">
        <f>IF('CN-FR-DP'!I27="","",'CN-FR-DP'!I27)</f>
        <v/>
      </c>
      <c r="F27" s="45" t="str">
        <f t="shared" si="0"/>
        <v/>
      </c>
      <c r="G27" s="45" t="str">
        <f>IF('CN-FR-DP'!O27="","",'CN-FR-DP'!O27)</f>
        <v/>
      </c>
      <c r="H27" s="45" t="str">
        <f>IF('CN-FR-DP'!P27="","",'CN-FR-DP'!P27)</f>
        <v/>
      </c>
      <c r="I27" s="45" t="str">
        <f t="shared" si="1"/>
        <v/>
      </c>
      <c r="J27" s="45" t="str">
        <f t="shared" si="2"/>
        <v/>
      </c>
      <c r="K27" s="45" t="str">
        <f t="shared" si="3"/>
        <v/>
      </c>
      <c r="L27" s="45" t="str">
        <f t="shared" si="4"/>
        <v/>
      </c>
      <c r="M27" s="46" t="str">
        <f t="shared" si="5"/>
        <v/>
      </c>
      <c r="N27" s="45" t="str">
        <f t="shared" si="6"/>
        <v/>
      </c>
      <c r="O27" s="43" t="str">
        <f t="shared" si="7"/>
        <v/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 ht="30" customHeight="1">
      <c r="A28" s="43" t="str">
        <f>IF('CN-FR-DP'!E28="","",'CN-FR-DP'!E28)</f>
        <v/>
      </c>
      <c r="B28" s="44" t="str">
        <f>IF('CN-FR-DP'!G28="","",'CN-FR-DP'!G28)</f>
        <v/>
      </c>
      <c r="C28" s="43" t="str">
        <f>IF('CN-FR-DP'!J28="","",'CN-FR-DP'!J28)</f>
        <v/>
      </c>
      <c r="D28" s="45" t="str">
        <f>IF('CN-FR-DP'!H28="","",'CN-FR-DP'!H28)</f>
        <v/>
      </c>
      <c r="E28" s="45" t="str">
        <f>IF('CN-FR-DP'!I28="","",'CN-FR-DP'!I28)</f>
        <v/>
      </c>
      <c r="F28" s="45" t="str">
        <f t="shared" si="0"/>
        <v/>
      </c>
      <c r="G28" s="45" t="str">
        <f>IF('CN-FR-DP'!O28="","",'CN-FR-DP'!O28)</f>
        <v/>
      </c>
      <c r="H28" s="45" t="str">
        <f>IF('CN-FR-DP'!P28="","",'CN-FR-DP'!P28)</f>
        <v/>
      </c>
      <c r="I28" s="45" t="str">
        <f t="shared" si="1"/>
        <v/>
      </c>
      <c r="J28" s="45" t="str">
        <f t="shared" si="2"/>
        <v/>
      </c>
      <c r="K28" s="45" t="str">
        <f t="shared" si="3"/>
        <v/>
      </c>
      <c r="L28" s="45" t="str">
        <f t="shared" si="4"/>
        <v/>
      </c>
      <c r="M28" s="46" t="str">
        <f t="shared" si="5"/>
        <v/>
      </c>
      <c r="N28" s="45" t="str">
        <f t="shared" si="6"/>
        <v/>
      </c>
      <c r="O28" s="43" t="str">
        <f t="shared" si="7"/>
        <v/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 ht="30" customHeight="1">
      <c r="A29" s="43" t="str">
        <f>IF('CN-FR-DP'!E29="","",'CN-FR-DP'!E29)</f>
        <v/>
      </c>
      <c r="B29" s="44" t="str">
        <f>IF('CN-FR-DP'!G29="","",'CN-FR-DP'!G29)</f>
        <v/>
      </c>
      <c r="C29" s="43" t="str">
        <f>IF('CN-FR-DP'!J29="","",'CN-FR-DP'!J29)</f>
        <v/>
      </c>
      <c r="D29" s="45" t="str">
        <f>IF('CN-FR-DP'!H29="","",'CN-FR-DP'!H29)</f>
        <v/>
      </c>
      <c r="E29" s="45" t="str">
        <f>IF('CN-FR-DP'!I29="","",'CN-FR-DP'!I29)</f>
        <v/>
      </c>
      <c r="F29" s="45" t="str">
        <f t="shared" si="0"/>
        <v/>
      </c>
      <c r="G29" s="45" t="str">
        <f>IF('CN-FR-DP'!O29="","",'CN-FR-DP'!O29)</f>
        <v/>
      </c>
      <c r="H29" s="45" t="str">
        <f>IF('CN-FR-DP'!P29="","",'CN-FR-DP'!P29)</f>
        <v/>
      </c>
      <c r="I29" s="45" t="str">
        <f t="shared" si="1"/>
        <v/>
      </c>
      <c r="J29" s="45" t="str">
        <f t="shared" si="2"/>
        <v/>
      </c>
      <c r="K29" s="45" t="str">
        <f t="shared" si="3"/>
        <v/>
      </c>
      <c r="L29" s="45" t="str">
        <f t="shared" si="4"/>
        <v/>
      </c>
      <c r="M29" s="46" t="str">
        <f t="shared" si="5"/>
        <v/>
      </c>
      <c r="N29" s="45" t="str">
        <f t="shared" si="6"/>
        <v/>
      </c>
      <c r="O29" s="43" t="str">
        <f t="shared" si="7"/>
        <v/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 ht="30" customHeight="1">
      <c r="A30" s="43" t="str">
        <f>IF('CN-FR-DP'!E30="","",'CN-FR-DP'!E30)</f>
        <v/>
      </c>
      <c r="B30" s="44" t="str">
        <f>IF('CN-FR-DP'!G30="","",'CN-FR-DP'!G30)</f>
        <v/>
      </c>
      <c r="C30" s="43" t="str">
        <f>IF('CN-FR-DP'!J30="","",'CN-FR-DP'!J30)</f>
        <v/>
      </c>
      <c r="D30" s="45" t="str">
        <f>IF('CN-FR-DP'!H30="","",'CN-FR-DP'!H30)</f>
        <v/>
      </c>
      <c r="E30" s="45" t="str">
        <f>IF('CN-FR-DP'!I30="","",'CN-FR-DP'!I30)</f>
        <v/>
      </c>
      <c r="F30" s="45" t="str">
        <f t="shared" si="0"/>
        <v/>
      </c>
      <c r="G30" s="45" t="str">
        <f>IF('CN-FR-DP'!O30="","",'CN-FR-DP'!O30)</f>
        <v/>
      </c>
      <c r="H30" s="45" t="str">
        <f>IF('CN-FR-DP'!P30="","",'CN-FR-DP'!P30)</f>
        <v/>
      </c>
      <c r="I30" s="45" t="str">
        <f t="shared" si="1"/>
        <v/>
      </c>
      <c r="J30" s="45" t="str">
        <f t="shared" si="2"/>
        <v/>
      </c>
      <c r="K30" s="45" t="str">
        <f t="shared" si="3"/>
        <v/>
      </c>
      <c r="L30" s="45" t="str">
        <f t="shared" si="4"/>
        <v/>
      </c>
      <c r="M30" s="46" t="str">
        <f t="shared" si="5"/>
        <v/>
      </c>
      <c r="N30" s="45" t="str">
        <f t="shared" si="6"/>
        <v/>
      </c>
      <c r="O30" s="43" t="str">
        <f t="shared" si="7"/>
        <v/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 ht="30" customHeight="1">
      <c r="A31" s="43" t="str">
        <f>IF('CN-FR-DP'!E31="","",'CN-FR-DP'!E31)</f>
        <v/>
      </c>
      <c r="B31" s="44" t="str">
        <f>IF('CN-FR-DP'!G31="","",'CN-FR-DP'!G31)</f>
        <v/>
      </c>
      <c r="C31" s="43" t="str">
        <f>IF('CN-FR-DP'!J31="","",'CN-FR-DP'!J31)</f>
        <v/>
      </c>
      <c r="D31" s="45" t="str">
        <f>IF('CN-FR-DP'!H31="","",'CN-FR-DP'!H31)</f>
        <v/>
      </c>
      <c r="E31" s="45" t="str">
        <f>IF('CN-FR-DP'!I31="","",'CN-FR-DP'!I31)</f>
        <v/>
      </c>
      <c r="F31" s="45" t="str">
        <f t="shared" si="0"/>
        <v/>
      </c>
      <c r="G31" s="45" t="str">
        <f>IF('CN-FR-DP'!O31="","",'CN-FR-DP'!O31)</f>
        <v/>
      </c>
      <c r="H31" s="45" t="str">
        <f>IF('CN-FR-DP'!P31="","",'CN-FR-DP'!P31)</f>
        <v/>
      </c>
      <c r="I31" s="45" t="str">
        <f t="shared" si="1"/>
        <v/>
      </c>
      <c r="J31" s="45" t="str">
        <f t="shared" si="2"/>
        <v/>
      </c>
      <c r="K31" s="45" t="str">
        <f t="shared" si="3"/>
        <v/>
      </c>
      <c r="L31" s="45" t="str">
        <f t="shared" si="4"/>
        <v/>
      </c>
      <c r="M31" s="46" t="str">
        <f t="shared" si="5"/>
        <v/>
      </c>
      <c r="N31" s="45" t="str">
        <f t="shared" si="6"/>
        <v/>
      </c>
      <c r="O31" s="43" t="str">
        <f t="shared" si="7"/>
        <v/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 ht="30" customHeight="1">
      <c r="A32" s="43" t="str">
        <f>IF('CN-FR-DP'!E32="","",'CN-FR-DP'!E32)</f>
        <v/>
      </c>
      <c r="B32" s="44" t="str">
        <f>IF('CN-FR-DP'!G32="","",'CN-FR-DP'!G32)</f>
        <v/>
      </c>
      <c r="C32" s="43" t="str">
        <f>IF('CN-FR-DP'!J32="","",'CN-FR-DP'!J32)</f>
        <v/>
      </c>
      <c r="D32" s="45" t="str">
        <f>IF('CN-FR-DP'!H32="","",'CN-FR-DP'!H32)</f>
        <v/>
      </c>
      <c r="E32" s="45" t="str">
        <f>IF('CN-FR-DP'!I32="","",'CN-FR-DP'!I32)</f>
        <v/>
      </c>
      <c r="F32" s="45" t="str">
        <f t="shared" si="0"/>
        <v/>
      </c>
      <c r="G32" s="45" t="str">
        <f>IF('CN-FR-DP'!O32="","",'CN-FR-DP'!O32)</f>
        <v/>
      </c>
      <c r="H32" s="45" t="str">
        <f>IF('CN-FR-DP'!P32="","",'CN-FR-DP'!P32)</f>
        <v/>
      </c>
      <c r="I32" s="45" t="str">
        <f t="shared" si="1"/>
        <v/>
      </c>
      <c r="J32" s="45" t="str">
        <f t="shared" si="2"/>
        <v/>
      </c>
      <c r="K32" s="45" t="str">
        <f t="shared" si="3"/>
        <v/>
      </c>
      <c r="L32" s="45" t="str">
        <f t="shared" si="4"/>
        <v/>
      </c>
      <c r="M32" s="46" t="str">
        <f t="shared" si="5"/>
        <v/>
      </c>
      <c r="N32" s="45" t="str">
        <f t="shared" si="6"/>
        <v/>
      </c>
      <c r="O32" s="43" t="str">
        <f t="shared" si="7"/>
        <v/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 ht="30" customHeight="1">
      <c r="A33" s="43" t="str">
        <f>IF('CN-FR-DP'!E33="","",'CN-FR-DP'!E33)</f>
        <v/>
      </c>
      <c r="B33" s="44" t="str">
        <f>IF('CN-FR-DP'!G33="","",'CN-FR-DP'!G33)</f>
        <v/>
      </c>
      <c r="C33" s="43" t="str">
        <f>IF('CN-FR-DP'!J33="","",'CN-FR-DP'!J33)</f>
        <v/>
      </c>
      <c r="D33" s="45" t="str">
        <f>IF('CN-FR-DP'!H33="","",'CN-FR-DP'!H33)</f>
        <v/>
      </c>
      <c r="E33" s="45" t="str">
        <f>IF('CN-FR-DP'!I33="","",'CN-FR-DP'!I33)</f>
        <v/>
      </c>
      <c r="F33" s="45" t="str">
        <f t="shared" si="0"/>
        <v/>
      </c>
      <c r="G33" s="45" t="str">
        <f>IF('CN-FR-DP'!O33="","",'CN-FR-DP'!O33)</f>
        <v/>
      </c>
      <c r="H33" s="45" t="str">
        <f>IF('CN-FR-DP'!P33="","",'CN-FR-DP'!P33)</f>
        <v/>
      </c>
      <c r="I33" s="45" t="str">
        <f t="shared" si="1"/>
        <v/>
      </c>
      <c r="J33" s="45" t="str">
        <f t="shared" si="2"/>
        <v/>
      </c>
      <c r="K33" s="45" t="str">
        <f t="shared" si="3"/>
        <v/>
      </c>
      <c r="L33" s="45" t="str">
        <f t="shared" si="4"/>
        <v/>
      </c>
      <c r="M33" s="46" t="str">
        <f t="shared" si="5"/>
        <v/>
      </c>
      <c r="N33" s="45" t="str">
        <f t="shared" si="6"/>
        <v/>
      </c>
      <c r="O33" s="43" t="str">
        <f t="shared" si="7"/>
        <v/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 ht="30" customHeight="1">
      <c r="A34" s="43" t="str">
        <f>IF('CN-FR-DP'!E34="","",'CN-FR-DP'!E34)</f>
        <v/>
      </c>
      <c r="B34" s="44" t="str">
        <f>IF('CN-FR-DP'!G34="","",'CN-FR-DP'!G34)</f>
        <v/>
      </c>
      <c r="C34" s="43" t="str">
        <f>IF('CN-FR-DP'!J34="","",'CN-FR-DP'!J34)</f>
        <v/>
      </c>
      <c r="D34" s="45" t="str">
        <f>IF('CN-FR-DP'!H34="","",'CN-FR-DP'!H34)</f>
        <v/>
      </c>
      <c r="E34" s="45" t="str">
        <f>IF('CN-FR-DP'!I34="","",'CN-FR-DP'!I34)</f>
        <v/>
      </c>
      <c r="F34" s="45" t="str">
        <f t="shared" si="0"/>
        <v/>
      </c>
      <c r="G34" s="45" t="str">
        <f>IF('CN-FR-DP'!O34="","",'CN-FR-DP'!O34)</f>
        <v/>
      </c>
      <c r="H34" s="45" t="str">
        <f>IF('CN-FR-DP'!P34="","",'CN-FR-DP'!P34)</f>
        <v/>
      </c>
      <c r="I34" s="45" t="str">
        <f t="shared" si="1"/>
        <v/>
      </c>
      <c r="J34" s="45" t="str">
        <f t="shared" si="2"/>
        <v/>
      </c>
      <c r="K34" s="45" t="str">
        <f t="shared" si="3"/>
        <v/>
      </c>
      <c r="L34" s="45" t="str">
        <f t="shared" si="4"/>
        <v/>
      </c>
      <c r="M34" s="46" t="str">
        <f t="shared" si="5"/>
        <v/>
      </c>
      <c r="N34" s="45" t="str">
        <f t="shared" si="6"/>
        <v/>
      </c>
      <c r="O34" s="43" t="str">
        <f t="shared" si="7"/>
        <v/>
      </c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 ht="30" customHeight="1">
      <c r="A35" s="43" t="str">
        <f>IF('CN-FR-DP'!E35="","",'CN-FR-DP'!E35)</f>
        <v/>
      </c>
      <c r="B35" s="44" t="str">
        <f>IF('CN-FR-DP'!G35="","",'CN-FR-DP'!G35)</f>
        <v/>
      </c>
      <c r="C35" s="43" t="str">
        <f>IF('CN-FR-DP'!J35="","",'CN-FR-DP'!J35)</f>
        <v/>
      </c>
      <c r="D35" s="45" t="str">
        <f>IF('CN-FR-DP'!H35="","",'CN-FR-DP'!H35)</f>
        <v/>
      </c>
      <c r="E35" s="45" t="str">
        <f>IF('CN-FR-DP'!I35="","",'CN-FR-DP'!I35)</f>
        <v/>
      </c>
      <c r="F35" s="45" t="str">
        <f t="shared" si="0"/>
        <v/>
      </c>
      <c r="G35" s="45" t="str">
        <f>IF('CN-FR-DP'!O35="","",'CN-FR-DP'!O35)</f>
        <v/>
      </c>
      <c r="H35" s="45" t="str">
        <f>IF('CN-FR-DP'!P35="","",'CN-FR-DP'!P35)</f>
        <v/>
      </c>
      <c r="I35" s="45" t="str">
        <f t="shared" si="1"/>
        <v/>
      </c>
      <c r="J35" s="45" t="str">
        <f t="shared" si="2"/>
        <v/>
      </c>
      <c r="K35" s="45" t="str">
        <f t="shared" si="3"/>
        <v/>
      </c>
      <c r="L35" s="45" t="str">
        <f t="shared" si="4"/>
        <v/>
      </c>
      <c r="M35" s="46" t="str">
        <f t="shared" si="5"/>
        <v/>
      </c>
      <c r="N35" s="45" t="str">
        <f t="shared" si="6"/>
        <v/>
      </c>
      <c r="O35" s="43" t="str">
        <f t="shared" si="7"/>
        <v/>
      </c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 ht="30" customHeight="1">
      <c r="A36" s="43" t="str">
        <f>IF('CN-FR-DP'!E36="","",'CN-FR-DP'!E36)</f>
        <v/>
      </c>
      <c r="B36" s="44" t="str">
        <f>IF('CN-FR-DP'!G36="","",'CN-FR-DP'!G36)</f>
        <v/>
      </c>
      <c r="C36" s="43" t="str">
        <f>IF('CN-FR-DP'!J36="","",'CN-FR-DP'!J36)</f>
        <v/>
      </c>
      <c r="D36" s="45" t="str">
        <f>IF('CN-FR-DP'!H36="","",'CN-FR-DP'!H36)</f>
        <v/>
      </c>
      <c r="E36" s="45" t="str">
        <f>IF('CN-FR-DP'!I36="","",'CN-FR-DP'!I36)</f>
        <v/>
      </c>
      <c r="F36" s="45" t="str">
        <f t="shared" si="0"/>
        <v/>
      </c>
      <c r="G36" s="45" t="str">
        <f>IF('CN-FR-DP'!O36="","",'CN-FR-DP'!O36)</f>
        <v/>
      </c>
      <c r="H36" s="45" t="str">
        <f>IF('CN-FR-DP'!P36="","",'CN-FR-DP'!P36)</f>
        <v/>
      </c>
      <c r="I36" s="45" t="str">
        <f t="shared" si="1"/>
        <v/>
      </c>
      <c r="J36" s="45" t="str">
        <f t="shared" si="2"/>
        <v/>
      </c>
      <c r="K36" s="45" t="str">
        <f t="shared" si="3"/>
        <v/>
      </c>
      <c r="L36" s="45" t="str">
        <f t="shared" si="4"/>
        <v/>
      </c>
      <c r="M36" s="46" t="str">
        <f t="shared" si="5"/>
        <v/>
      </c>
      <c r="N36" s="45" t="str">
        <f t="shared" si="6"/>
        <v/>
      </c>
      <c r="O36" s="43" t="str">
        <f t="shared" si="7"/>
        <v/>
      </c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 ht="30" customHeight="1">
      <c r="A37" s="43" t="str">
        <f>IF('CN-FR-DP'!E37="","",'CN-FR-DP'!E37)</f>
        <v/>
      </c>
      <c r="B37" s="44" t="str">
        <f>IF('CN-FR-DP'!G37="","",'CN-FR-DP'!G37)</f>
        <v/>
      </c>
      <c r="C37" s="43" t="str">
        <f>IF('CN-FR-DP'!J37="","",'CN-FR-DP'!J37)</f>
        <v/>
      </c>
      <c r="D37" s="45" t="str">
        <f>IF('CN-FR-DP'!H37="","",'CN-FR-DP'!H37)</f>
        <v/>
      </c>
      <c r="E37" s="45" t="str">
        <f>IF('CN-FR-DP'!I37="","",'CN-FR-DP'!I37)</f>
        <v/>
      </c>
      <c r="F37" s="45" t="str">
        <f t="shared" ref="F37:F54" si="8">IF(OR(D37="",E37=""),"",MAX(0,E37-D37))</f>
        <v/>
      </c>
      <c r="G37" s="45" t="str">
        <f>IF('CN-FR-DP'!O37="","",'CN-FR-DP'!O37)</f>
        <v/>
      </c>
      <c r="H37" s="45" t="str">
        <f>IF('CN-FR-DP'!P37="","",'CN-FR-DP'!P37)</f>
        <v/>
      </c>
      <c r="I37" s="45" t="str">
        <f t="shared" ref="I37:I54" si="9">IF(OR(G37="",H37=""),"",MAX(0,H37-G37))</f>
        <v/>
      </c>
      <c r="J37" s="45" t="str">
        <f t="shared" ref="J37:J54" si="10">IF(OR(D37="",E37="",G37="",H37=""),"",MAX(D37,G37))</f>
        <v/>
      </c>
      <c r="K37" s="45" t="str">
        <f t="shared" ref="K37:K54" si="11">IF(OR(D37="",E37="",G37="",H37=""),"",MIN(E37,H37))</f>
        <v/>
      </c>
      <c r="L37" s="45" t="str">
        <f t="shared" ref="L37:L54" si="12">IF(OR(J37="",K37=""),"",MAX(0,K37-J37))</f>
        <v/>
      </c>
      <c r="M37" s="46" t="str">
        <f t="shared" ref="M37:M54" si="13">IF(OR(F37="",L37=""),"",IF(F37=0,"",L37/F37))</f>
        <v/>
      </c>
      <c r="N37" s="45" t="str">
        <f t="shared" ref="N37:N54" si="14">IF(M37="","",IF(M37=0,"infinite",-LN(M37)/LN(2)))</f>
        <v/>
      </c>
      <c r="O37" s="43" t="str">
        <f t="shared" ref="O37:O54" si="15">IF(A37="","",IF(OR(D37="",E37="",G37="",H37=""),"TBC",IF(M37=0,"No overlap",IF(M37&gt;=0.999999,"Pass","Partial"))))</f>
        <v/>
      </c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 ht="30" customHeight="1">
      <c r="A38" s="43" t="str">
        <f>IF('CN-FR-DP'!E38="","",'CN-FR-DP'!E38)</f>
        <v/>
      </c>
      <c r="B38" s="44" t="str">
        <f>IF('CN-FR-DP'!G38="","",'CN-FR-DP'!G38)</f>
        <v/>
      </c>
      <c r="C38" s="43" t="str">
        <f>IF('CN-FR-DP'!J38="","",'CN-FR-DP'!J38)</f>
        <v/>
      </c>
      <c r="D38" s="45" t="str">
        <f>IF('CN-FR-DP'!H38="","",'CN-FR-DP'!H38)</f>
        <v/>
      </c>
      <c r="E38" s="45" t="str">
        <f>IF('CN-FR-DP'!I38="","",'CN-FR-DP'!I38)</f>
        <v/>
      </c>
      <c r="F38" s="45" t="str">
        <f t="shared" si="8"/>
        <v/>
      </c>
      <c r="G38" s="45" t="str">
        <f>IF('CN-FR-DP'!O38="","",'CN-FR-DP'!O38)</f>
        <v/>
      </c>
      <c r="H38" s="45" t="str">
        <f>IF('CN-FR-DP'!P38="","",'CN-FR-DP'!P38)</f>
        <v/>
      </c>
      <c r="I38" s="45" t="str">
        <f t="shared" si="9"/>
        <v/>
      </c>
      <c r="J38" s="45" t="str">
        <f t="shared" si="10"/>
        <v/>
      </c>
      <c r="K38" s="45" t="str">
        <f t="shared" si="11"/>
        <v/>
      </c>
      <c r="L38" s="45" t="str">
        <f t="shared" si="12"/>
        <v/>
      </c>
      <c r="M38" s="46" t="str">
        <f t="shared" si="13"/>
        <v/>
      </c>
      <c r="N38" s="45" t="str">
        <f t="shared" si="14"/>
        <v/>
      </c>
      <c r="O38" s="43" t="str">
        <f t="shared" si="15"/>
        <v/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 ht="30" customHeight="1">
      <c r="A39" s="43" t="str">
        <f>IF('CN-FR-DP'!E39="","",'CN-FR-DP'!E39)</f>
        <v/>
      </c>
      <c r="B39" s="44" t="str">
        <f>IF('CN-FR-DP'!G39="","",'CN-FR-DP'!G39)</f>
        <v/>
      </c>
      <c r="C39" s="43" t="str">
        <f>IF('CN-FR-DP'!J39="","",'CN-FR-DP'!J39)</f>
        <v/>
      </c>
      <c r="D39" s="45" t="str">
        <f>IF('CN-FR-DP'!H39="","",'CN-FR-DP'!H39)</f>
        <v/>
      </c>
      <c r="E39" s="45" t="str">
        <f>IF('CN-FR-DP'!I39="","",'CN-FR-DP'!I39)</f>
        <v/>
      </c>
      <c r="F39" s="45" t="str">
        <f t="shared" si="8"/>
        <v/>
      </c>
      <c r="G39" s="45" t="str">
        <f>IF('CN-FR-DP'!O39="","",'CN-FR-DP'!O39)</f>
        <v/>
      </c>
      <c r="H39" s="45" t="str">
        <f>IF('CN-FR-DP'!P39="","",'CN-FR-DP'!P39)</f>
        <v/>
      </c>
      <c r="I39" s="45" t="str">
        <f t="shared" si="9"/>
        <v/>
      </c>
      <c r="J39" s="45" t="str">
        <f t="shared" si="10"/>
        <v/>
      </c>
      <c r="K39" s="45" t="str">
        <f t="shared" si="11"/>
        <v/>
      </c>
      <c r="L39" s="45" t="str">
        <f t="shared" si="12"/>
        <v/>
      </c>
      <c r="M39" s="46" t="str">
        <f t="shared" si="13"/>
        <v/>
      </c>
      <c r="N39" s="45" t="str">
        <f t="shared" si="14"/>
        <v/>
      </c>
      <c r="O39" s="43" t="str">
        <f t="shared" si="15"/>
        <v/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 ht="30" customHeight="1">
      <c r="A40" s="43" t="str">
        <f>IF('CN-FR-DP'!E40="","",'CN-FR-DP'!E40)</f>
        <v/>
      </c>
      <c r="B40" s="44" t="str">
        <f>IF('CN-FR-DP'!G40="","",'CN-FR-DP'!G40)</f>
        <v/>
      </c>
      <c r="C40" s="43" t="str">
        <f>IF('CN-FR-DP'!J40="","",'CN-FR-DP'!J40)</f>
        <v/>
      </c>
      <c r="D40" s="45" t="str">
        <f>IF('CN-FR-DP'!H40="","",'CN-FR-DP'!H40)</f>
        <v/>
      </c>
      <c r="E40" s="45" t="str">
        <f>IF('CN-FR-DP'!I40="","",'CN-FR-DP'!I40)</f>
        <v/>
      </c>
      <c r="F40" s="45" t="str">
        <f t="shared" si="8"/>
        <v/>
      </c>
      <c r="G40" s="45" t="str">
        <f>IF('CN-FR-DP'!O40="","",'CN-FR-DP'!O40)</f>
        <v/>
      </c>
      <c r="H40" s="45" t="str">
        <f>IF('CN-FR-DP'!P40="","",'CN-FR-DP'!P40)</f>
        <v/>
      </c>
      <c r="I40" s="45" t="str">
        <f t="shared" si="9"/>
        <v/>
      </c>
      <c r="J40" s="45" t="str">
        <f t="shared" si="10"/>
        <v/>
      </c>
      <c r="K40" s="45" t="str">
        <f t="shared" si="11"/>
        <v/>
      </c>
      <c r="L40" s="45" t="str">
        <f t="shared" si="12"/>
        <v/>
      </c>
      <c r="M40" s="46" t="str">
        <f t="shared" si="13"/>
        <v/>
      </c>
      <c r="N40" s="45" t="str">
        <f t="shared" si="14"/>
        <v/>
      </c>
      <c r="O40" s="43" t="str">
        <f t="shared" si="15"/>
        <v/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 ht="30" customHeight="1">
      <c r="A41" s="43" t="str">
        <f>IF('CN-FR-DP'!E41="","",'CN-FR-DP'!E41)</f>
        <v/>
      </c>
      <c r="B41" s="44" t="str">
        <f>IF('CN-FR-DP'!G41="","",'CN-FR-DP'!G41)</f>
        <v/>
      </c>
      <c r="C41" s="43" t="str">
        <f>IF('CN-FR-DP'!J41="","",'CN-FR-DP'!J41)</f>
        <v/>
      </c>
      <c r="D41" s="45" t="str">
        <f>IF('CN-FR-DP'!H41="","",'CN-FR-DP'!H41)</f>
        <v/>
      </c>
      <c r="E41" s="45" t="str">
        <f>IF('CN-FR-DP'!I41="","",'CN-FR-DP'!I41)</f>
        <v/>
      </c>
      <c r="F41" s="45" t="str">
        <f t="shared" si="8"/>
        <v/>
      </c>
      <c r="G41" s="45" t="str">
        <f>IF('CN-FR-DP'!O41="","",'CN-FR-DP'!O41)</f>
        <v/>
      </c>
      <c r="H41" s="45" t="str">
        <f>IF('CN-FR-DP'!P41="","",'CN-FR-DP'!P41)</f>
        <v/>
      </c>
      <c r="I41" s="45" t="str">
        <f t="shared" si="9"/>
        <v/>
      </c>
      <c r="J41" s="45" t="str">
        <f t="shared" si="10"/>
        <v/>
      </c>
      <c r="K41" s="45" t="str">
        <f t="shared" si="11"/>
        <v/>
      </c>
      <c r="L41" s="45" t="str">
        <f t="shared" si="12"/>
        <v/>
      </c>
      <c r="M41" s="46" t="str">
        <f t="shared" si="13"/>
        <v/>
      </c>
      <c r="N41" s="45" t="str">
        <f t="shared" si="14"/>
        <v/>
      </c>
      <c r="O41" s="43" t="str">
        <f t="shared" si="15"/>
        <v/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 ht="30" customHeight="1">
      <c r="A42" s="43" t="str">
        <f>IF('CN-FR-DP'!E42="","",'CN-FR-DP'!E42)</f>
        <v/>
      </c>
      <c r="B42" s="44" t="str">
        <f>IF('CN-FR-DP'!G42="","",'CN-FR-DP'!G42)</f>
        <v/>
      </c>
      <c r="C42" s="43" t="str">
        <f>IF('CN-FR-DP'!J42="","",'CN-FR-DP'!J42)</f>
        <v/>
      </c>
      <c r="D42" s="45" t="str">
        <f>IF('CN-FR-DP'!H42="","",'CN-FR-DP'!H42)</f>
        <v/>
      </c>
      <c r="E42" s="45" t="str">
        <f>IF('CN-FR-DP'!I42="","",'CN-FR-DP'!I42)</f>
        <v/>
      </c>
      <c r="F42" s="45" t="str">
        <f t="shared" si="8"/>
        <v/>
      </c>
      <c r="G42" s="45" t="str">
        <f>IF('CN-FR-DP'!O42="","",'CN-FR-DP'!O42)</f>
        <v/>
      </c>
      <c r="H42" s="45" t="str">
        <f>IF('CN-FR-DP'!P42="","",'CN-FR-DP'!P42)</f>
        <v/>
      </c>
      <c r="I42" s="45" t="str">
        <f t="shared" si="9"/>
        <v/>
      </c>
      <c r="J42" s="45" t="str">
        <f t="shared" si="10"/>
        <v/>
      </c>
      <c r="K42" s="45" t="str">
        <f t="shared" si="11"/>
        <v/>
      </c>
      <c r="L42" s="45" t="str">
        <f t="shared" si="12"/>
        <v/>
      </c>
      <c r="M42" s="46" t="str">
        <f t="shared" si="13"/>
        <v/>
      </c>
      <c r="N42" s="45" t="str">
        <f t="shared" si="14"/>
        <v/>
      </c>
      <c r="O42" s="43" t="str">
        <f t="shared" si="15"/>
        <v/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 ht="30" customHeight="1">
      <c r="A43" s="43" t="str">
        <f>IF('CN-FR-DP'!E43="","",'CN-FR-DP'!E43)</f>
        <v/>
      </c>
      <c r="B43" s="44" t="str">
        <f>IF('CN-FR-DP'!G43="","",'CN-FR-DP'!G43)</f>
        <v/>
      </c>
      <c r="C43" s="43" t="str">
        <f>IF('CN-FR-DP'!J43="","",'CN-FR-DP'!J43)</f>
        <v/>
      </c>
      <c r="D43" s="45" t="str">
        <f>IF('CN-FR-DP'!H43="","",'CN-FR-DP'!H43)</f>
        <v/>
      </c>
      <c r="E43" s="45" t="str">
        <f>IF('CN-FR-DP'!I43="","",'CN-FR-DP'!I43)</f>
        <v/>
      </c>
      <c r="F43" s="45" t="str">
        <f t="shared" si="8"/>
        <v/>
      </c>
      <c r="G43" s="45" t="str">
        <f>IF('CN-FR-DP'!O43="","",'CN-FR-DP'!O43)</f>
        <v/>
      </c>
      <c r="H43" s="45" t="str">
        <f>IF('CN-FR-DP'!P43="","",'CN-FR-DP'!P43)</f>
        <v/>
      </c>
      <c r="I43" s="45" t="str">
        <f t="shared" si="9"/>
        <v/>
      </c>
      <c r="J43" s="45" t="str">
        <f t="shared" si="10"/>
        <v/>
      </c>
      <c r="K43" s="45" t="str">
        <f t="shared" si="11"/>
        <v/>
      </c>
      <c r="L43" s="45" t="str">
        <f t="shared" si="12"/>
        <v/>
      </c>
      <c r="M43" s="46" t="str">
        <f t="shared" si="13"/>
        <v/>
      </c>
      <c r="N43" s="45" t="str">
        <f t="shared" si="14"/>
        <v/>
      </c>
      <c r="O43" s="43" t="str">
        <f t="shared" si="15"/>
        <v/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 ht="30" customHeight="1">
      <c r="A44" s="43" t="str">
        <f>IF('CN-FR-DP'!E44="","",'CN-FR-DP'!E44)</f>
        <v/>
      </c>
      <c r="B44" s="44" t="str">
        <f>IF('CN-FR-DP'!G44="","",'CN-FR-DP'!G44)</f>
        <v/>
      </c>
      <c r="C44" s="43" t="str">
        <f>IF('CN-FR-DP'!J44="","",'CN-FR-DP'!J44)</f>
        <v/>
      </c>
      <c r="D44" s="45" t="str">
        <f>IF('CN-FR-DP'!H44="","",'CN-FR-DP'!H44)</f>
        <v/>
      </c>
      <c r="E44" s="45" t="str">
        <f>IF('CN-FR-DP'!I44="","",'CN-FR-DP'!I44)</f>
        <v/>
      </c>
      <c r="F44" s="45" t="str">
        <f t="shared" si="8"/>
        <v/>
      </c>
      <c r="G44" s="45" t="str">
        <f>IF('CN-FR-DP'!O44="","",'CN-FR-DP'!O44)</f>
        <v/>
      </c>
      <c r="H44" s="45" t="str">
        <f>IF('CN-FR-DP'!P44="","",'CN-FR-DP'!P44)</f>
        <v/>
      </c>
      <c r="I44" s="45" t="str">
        <f t="shared" si="9"/>
        <v/>
      </c>
      <c r="J44" s="45" t="str">
        <f t="shared" si="10"/>
        <v/>
      </c>
      <c r="K44" s="45" t="str">
        <f t="shared" si="11"/>
        <v/>
      </c>
      <c r="L44" s="45" t="str">
        <f t="shared" si="12"/>
        <v/>
      </c>
      <c r="M44" s="46" t="str">
        <f t="shared" si="13"/>
        <v/>
      </c>
      <c r="N44" s="45" t="str">
        <f t="shared" si="14"/>
        <v/>
      </c>
      <c r="O44" s="43" t="str">
        <f t="shared" si="15"/>
        <v/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 ht="30" customHeight="1">
      <c r="A45" s="43" t="str">
        <f>IF('CN-FR-DP'!E45="","",'CN-FR-DP'!E45)</f>
        <v/>
      </c>
      <c r="B45" s="44" t="str">
        <f>IF('CN-FR-DP'!G45="","",'CN-FR-DP'!G45)</f>
        <v/>
      </c>
      <c r="C45" s="43" t="str">
        <f>IF('CN-FR-DP'!J45="","",'CN-FR-DP'!J45)</f>
        <v/>
      </c>
      <c r="D45" s="45" t="str">
        <f>IF('CN-FR-DP'!H45="","",'CN-FR-DP'!H45)</f>
        <v/>
      </c>
      <c r="E45" s="45" t="str">
        <f>IF('CN-FR-DP'!I45="","",'CN-FR-DP'!I45)</f>
        <v/>
      </c>
      <c r="F45" s="45" t="str">
        <f t="shared" si="8"/>
        <v/>
      </c>
      <c r="G45" s="45" t="str">
        <f>IF('CN-FR-DP'!O45="","",'CN-FR-DP'!O45)</f>
        <v/>
      </c>
      <c r="H45" s="45" t="str">
        <f>IF('CN-FR-DP'!P45="","",'CN-FR-DP'!P45)</f>
        <v/>
      </c>
      <c r="I45" s="45" t="str">
        <f t="shared" si="9"/>
        <v/>
      </c>
      <c r="J45" s="45" t="str">
        <f t="shared" si="10"/>
        <v/>
      </c>
      <c r="K45" s="45" t="str">
        <f t="shared" si="11"/>
        <v/>
      </c>
      <c r="L45" s="45" t="str">
        <f t="shared" si="12"/>
        <v/>
      </c>
      <c r="M45" s="46" t="str">
        <f t="shared" si="13"/>
        <v/>
      </c>
      <c r="N45" s="45" t="str">
        <f t="shared" si="14"/>
        <v/>
      </c>
      <c r="O45" s="43" t="str">
        <f t="shared" si="15"/>
        <v/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 ht="30" customHeight="1">
      <c r="A46" s="43" t="str">
        <f>IF('CN-FR-DP'!E46="","",'CN-FR-DP'!E46)</f>
        <v/>
      </c>
      <c r="B46" s="44" t="str">
        <f>IF('CN-FR-DP'!G46="","",'CN-FR-DP'!G46)</f>
        <v/>
      </c>
      <c r="C46" s="43" t="str">
        <f>IF('CN-FR-DP'!J46="","",'CN-FR-DP'!J46)</f>
        <v/>
      </c>
      <c r="D46" s="45" t="str">
        <f>IF('CN-FR-DP'!H46="","",'CN-FR-DP'!H46)</f>
        <v/>
      </c>
      <c r="E46" s="45" t="str">
        <f>IF('CN-FR-DP'!I46="","",'CN-FR-DP'!I46)</f>
        <v/>
      </c>
      <c r="F46" s="45" t="str">
        <f t="shared" si="8"/>
        <v/>
      </c>
      <c r="G46" s="45" t="str">
        <f>IF('CN-FR-DP'!O46="","",'CN-FR-DP'!O46)</f>
        <v/>
      </c>
      <c r="H46" s="45" t="str">
        <f>IF('CN-FR-DP'!P46="","",'CN-FR-DP'!P46)</f>
        <v/>
      </c>
      <c r="I46" s="45" t="str">
        <f t="shared" si="9"/>
        <v/>
      </c>
      <c r="J46" s="45" t="str">
        <f t="shared" si="10"/>
        <v/>
      </c>
      <c r="K46" s="45" t="str">
        <f t="shared" si="11"/>
        <v/>
      </c>
      <c r="L46" s="45" t="str">
        <f t="shared" si="12"/>
        <v/>
      </c>
      <c r="M46" s="46" t="str">
        <f t="shared" si="13"/>
        <v/>
      </c>
      <c r="N46" s="45" t="str">
        <f t="shared" si="14"/>
        <v/>
      </c>
      <c r="O46" s="43" t="str">
        <f t="shared" si="15"/>
        <v/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 ht="30" customHeight="1">
      <c r="A47" s="43" t="str">
        <f>IF('CN-FR-DP'!E47="","",'CN-FR-DP'!E47)</f>
        <v/>
      </c>
      <c r="B47" s="44" t="str">
        <f>IF('CN-FR-DP'!G47="","",'CN-FR-DP'!G47)</f>
        <v/>
      </c>
      <c r="C47" s="43" t="str">
        <f>IF('CN-FR-DP'!J47="","",'CN-FR-DP'!J47)</f>
        <v/>
      </c>
      <c r="D47" s="45" t="str">
        <f>IF('CN-FR-DP'!H47="","",'CN-FR-DP'!H47)</f>
        <v/>
      </c>
      <c r="E47" s="45" t="str">
        <f>IF('CN-FR-DP'!I47="","",'CN-FR-DP'!I47)</f>
        <v/>
      </c>
      <c r="F47" s="45" t="str">
        <f t="shared" si="8"/>
        <v/>
      </c>
      <c r="G47" s="45" t="str">
        <f>IF('CN-FR-DP'!O47="","",'CN-FR-DP'!O47)</f>
        <v/>
      </c>
      <c r="H47" s="45" t="str">
        <f>IF('CN-FR-DP'!P47="","",'CN-FR-DP'!P47)</f>
        <v/>
      </c>
      <c r="I47" s="45" t="str">
        <f t="shared" si="9"/>
        <v/>
      </c>
      <c r="J47" s="45" t="str">
        <f t="shared" si="10"/>
        <v/>
      </c>
      <c r="K47" s="45" t="str">
        <f t="shared" si="11"/>
        <v/>
      </c>
      <c r="L47" s="45" t="str">
        <f t="shared" si="12"/>
        <v/>
      </c>
      <c r="M47" s="46" t="str">
        <f t="shared" si="13"/>
        <v/>
      </c>
      <c r="N47" s="45" t="str">
        <f t="shared" si="14"/>
        <v/>
      </c>
      <c r="O47" s="43" t="str">
        <f t="shared" si="15"/>
        <v/>
      </c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 ht="30" customHeight="1">
      <c r="A48" s="43" t="str">
        <f>IF('CN-FR-DP'!E48="","",'CN-FR-DP'!E48)</f>
        <v/>
      </c>
      <c r="B48" s="44" t="str">
        <f>IF('CN-FR-DP'!G48="","",'CN-FR-DP'!G48)</f>
        <v/>
      </c>
      <c r="C48" s="43" t="str">
        <f>IF('CN-FR-DP'!J48="","",'CN-FR-DP'!J48)</f>
        <v/>
      </c>
      <c r="D48" s="45" t="str">
        <f>IF('CN-FR-DP'!H48="","",'CN-FR-DP'!H48)</f>
        <v/>
      </c>
      <c r="E48" s="45" t="str">
        <f>IF('CN-FR-DP'!I48="","",'CN-FR-DP'!I48)</f>
        <v/>
      </c>
      <c r="F48" s="45" t="str">
        <f t="shared" si="8"/>
        <v/>
      </c>
      <c r="G48" s="45" t="str">
        <f>IF('CN-FR-DP'!O48="","",'CN-FR-DP'!O48)</f>
        <v/>
      </c>
      <c r="H48" s="45" t="str">
        <f>IF('CN-FR-DP'!P48="","",'CN-FR-DP'!P48)</f>
        <v/>
      </c>
      <c r="I48" s="45" t="str">
        <f t="shared" si="9"/>
        <v/>
      </c>
      <c r="J48" s="45" t="str">
        <f t="shared" si="10"/>
        <v/>
      </c>
      <c r="K48" s="45" t="str">
        <f t="shared" si="11"/>
        <v/>
      </c>
      <c r="L48" s="45" t="str">
        <f t="shared" si="12"/>
        <v/>
      </c>
      <c r="M48" s="46" t="str">
        <f t="shared" si="13"/>
        <v/>
      </c>
      <c r="N48" s="45" t="str">
        <f t="shared" si="14"/>
        <v/>
      </c>
      <c r="O48" s="43" t="str">
        <f t="shared" si="15"/>
        <v/>
      </c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 ht="30" customHeight="1">
      <c r="A49" s="43" t="str">
        <f>IF('CN-FR-DP'!E49="","",'CN-FR-DP'!E49)</f>
        <v/>
      </c>
      <c r="B49" s="44" t="str">
        <f>IF('CN-FR-DP'!G49="","",'CN-FR-DP'!G49)</f>
        <v/>
      </c>
      <c r="C49" s="43" t="str">
        <f>IF('CN-FR-DP'!J49="","",'CN-FR-DP'!J49)</f>
        <v/>
      </c>
      <c r="D49" s="45" t="str">
        <f>IF('CN-FR-DP'!H49="","",'CN-FR-DP'!H49)</f>
        <v/>
      </c>
      <c r="E49" s="45" t="str">
        <f>IF('CN-FR-DP'!I49="","",'CN-FR-DP'!I49)</f>
        <v/>
      </c>
      <c r="F49" s="45" t="str">
        <f t="shared" si="8"/>
        <v/>
      </c>
      <c r="G49" s="45" t="str">
        <f>IF('CN-FR-DP'!O49="","",'CN-FR-DP'!O49)</f>
        <v/>
      </c>
      <c r="H49" s="45" t="str">
        <f>IF('CN-FR-DP'!P49="","",'CN-FR-DP'!P49)</f>
        <v/>
      </c>
      <c r="I49" s="45" t="str">
        <f t="shared" si="9"/>
        <v/>
      </c>
      <c r="J49" s="45" t="str">
        <f t="shared" si="10"/>
        <v/>
      </c>
      <c r="K49" s="45" t="str">
        <f t="shared" si="11"/>
        <v/>
      </c>
      <c r="L49" s="45" t="str">
        <f t="shared" si="12"/>
        <v/>
      </c>
      <c r="M49" s="46" t="str">
        <f t="shared" si="13"/>
        <v/>
      </c>
      <c r="N49" s="45" t="str">
        <f t="shared" si="14"/>
        <v/>
      </c>
      <c r="O49" s="43" t="str">
        <f t="shared" si="15"/>
        <v/>
      </c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 ht="30" customHeight="1">
      <c r="A50" s="43" t="str">
        <f>IF('CN-FR-DP'!E50="","",'CN-FR-DP'!E50)</f>
        <v/>
      </c>
      <c r="B50" s="44" t="str">
        <f>IF('CN-FR-DP'!G50="","",'CN-FR-DP'!G50)</f>
        <v/>
      </c>
      <c r="C50" s="43" t="str">
        <f>IF('CN-FR-DP'!J50="","",'CN-FR-DP'!J50)</f>
        <v/>
      </c>
      <c r="D50" s="45" t="str">
        <f>IF('CN-FR-DP'!H50="","",'CN-FR-DP'!H50)</f>
        <v/>
      </c>
      <c r="E50" s="45" t="str">
        <f>IF('CN-FR-DP'!I50="","",'CN-FR-DP'!I50)</f>
        <v/>
      </c>
      <c r="F50" s="45" t="str">
        <f t="shared" si="8"/>
        <v/>
      </c>
      <c r="G50" s="45" t="str">
        <f>IF('CN-FR-DP'!O50="","",'CN-FR-DP'!O50)</f>
        <v/>
      </c>
      <c r="H50" s="45" t="str">
        <f>IF('CN-FR-DP'!P50="","",'CN-FR-DP'!P50)</f>
        <v/>
      </c>
      <c r="I50" s="45" t="str">
        <f t="shared" si="9"/>
        <v/>
      </c>
      <c r="J50" s="45" t="str">
        <f t="shared" si="10"/>
        <v/>
      </c>
      <c r="K50" s="45" t="str">
        <f t="shared" si="11"/>
        <v/>
      </c>
      <c r="L50" s="45" t="str">
        <f t="shared" si="12"/>
        <v/>
      </c>
      <c r="M50" s="46" t="str">
        <f t="shared" si="13"/>
        <v/>
      </c>
      <c r="N50" s="45" t="str">
        <f t="shared" si="14"/>
        <v/>
      </c>
      <c r="O50" s="43" t="str">
        <f t="shared" si="15"/>
        <v/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 ht="30" customHeight="1">
      <c r="A51" s="43" t="str">
        <f>IF('CN-FR-DP'!E51="","",'CN-FR-DP'!E51)</f>
        <v/>
      </c>
      <c r="B51" s="44" t="str">
        <f>IF('CN-FR-DP'!G51="","",'CN-FR-DP'!G51)</f>
        <v/>
      </c>
      <c r="C51" s="43" t="str">
        <f>IF('CN-FR-DP'!J51="","",'CN-FR-DP'!J51)</f>
        <v/>
      </c>
      <c r="D51" s="45" t="str">
        <f>IF('CN-FR-DP'!H51="","",'CN-FR-DP'!H51)</f>
        <v/>
      </c>
      <c r="E51" s="45" t="str">
        <f>IF('CN-FR-DP'!I51="","",'CN-FR-DP'!I51)</f>
        <v/>
      </c>
      <c r="F51" s="45" t="str">
        <f t="shared" si="8"/>
        <v/>
      </c>
      <c r="G51" s="45" t="str">
        <f>IF('CN-FR-DP'!O51="","",'CN-FR-DP'!O51)</f>
        <v/>
      </c>
      <c r="H51" s="45" t="str">
        <f>IF('CN-FR-DP'!P51="","",'CN-FR-DP'!P51)</f>
        <v/>
      </c>
      <c r="I51" s="45" t="str">
        <f t="shared" si="9"/>
        <v/>
      </c>
      <c r="J51" s="45" t="str">
        <f t="shared" si="10"/>
        <v/>
      </c>
      <c r="K51" s="45" t="str">
        <f t="shared" si="11"/>
        <v/>
      </c>
      <c r="L51" s="45" t="str">
        <f t="shared" si="12"/>
        <v/>
      </c>
      <c r="M51" s="46" t="str">
        <f t="shared" si="13"/>
        <v/>
      </c>
      <c r="N51" s="45" t="str">
        <f t="shared" si="14"/>
        <v/>
      </c>
      <c r="O51" s="43" t="str">
        <f t="shared" si="15"/>
        <v/>
      </c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 ht="30" customHeight="1">
      <c r="A52" s="43" t="str">
        <f>IF('CN-FR-DP'!E52="","",'CN-FR-DP'!E52)</f>
        <v/>
      </c>
      <c r="B52" s="44" t="str">
        <f>IF('CN-FR-DP'!G52="","",'CN-FR-DP'!G52)</f>
        <v/>
      </c>
      <c r="C52" s="43" t="str">
        <f>IF('CN-FR-DP'!J52="","",'CN-FR-DP'!J52)</f>
        <v/>
      </c>
      <c r="D52" s="45" t="str">
        <f>IF('CN-FR-DP'!H52="","",'CN-FR-DP'!H52)</f>
        <v/>
      </c>
      <c r="E52" s="45" t="str">
        <f>IF('CN-FR-DP'!I52="","",'CN-FR-DP'!I52)</f>
        <v/>
      </c>
      <c r="F52" s="45" t="str">
        <f t="shared" si="8"/>
        <v/>
      </c>
      <c r="G52" s="45" t="str">
        <f>IF('CN-FR-DP'!O52="","",'CN-FR-DP'!O52)</f>
        <v/>
      </c>
      <c r="H52" s="45" t="str">
        <f>IF('CN-FR-DP'!P52="","",'CN-FR-DP'!P52)</f>
        <v/>
      </c>
      <c r="I52" s="45" t="str">
        <f t="shared" si="9"/>
        <v/>
      </c>
      <c r="J52" s="45" t="str">
        <f t="shared" si="10"/>
        <v/>
      </c>
      <c r="K52" s="45" t="str">
        <f t="shared" si="11"/>
        <v/>
      </c>
      <c r="L52" s="45" t="str">
        <f t="shared" si="12"/>
        <v/>
      </c>
      <c r="M52" s="46" t="str">
        <f t="shared" si="13"/>
        <v/>
      </c>
      <c r="N52" s="45" t="str">
        <f t="shared" si="14"/>
        <v/>
      </c>
      <c r="O52" s="43" t="str">
        <f t="shared" si="15"/>
        <v/>
      </c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 ht="30" customHeight="1">
      <c r="A53" s="43" t="str">
        <f>IF('CN-FR-DP'!E53="","",'CN-FR-DP'!E53)</f>
        <v/>
      </c>
      <c r="B53" s="44" t="str">
        <f>IF('CN-FR-DP'!G53="","",'CN-FR-DP'!G53)</f>
        <v/>
      </c>
      <c r="C53" s="43" t="str">
        <f>IF('CN-FR-DP'!J53="","",'CN-FR-DP'!J53)</f>
        <v/>
      </c>
      <c r="D53" s="45" t="str">
        <f>IF('CN-FR-DP'!H53="","",'CN-FR-DP'!H53)</f>
        <v/>
      </c>
      <c r="E53" s="45" t="str">
        <f>IF('CN-FR-DP'!I53="","",'CN-FR-DP'!I53)</f>
        <v/>
      </c>
      <c r="F53" s="45" t="str">
        <f t="shared" si="8"/>
        <v/>
      </c>
      <c r="G53" s="45" t="str">
        <f>IF('CN-FR-DP'!O53="","",'CN-FR-DP'!O53)</f>
        <v/>
      </c>
      <c r="H53" s="45" t="str">
        <f>IF('CN-FR-DP'!P53="","",'CN-FR-DP'!P53)</f>
        <v/>
      </c>
      <c r="I53" s="45" t="str">
        <f t="shared" si="9"/>
        <v/>
      </c>
      <c r="J53" s="45" t="str">
        <f t="shared" si="10"/>
        <v/>
      </c>
      <c r="K53" s="45" t="str">
        <f t="shared" si="11"/>
        <v/>
      </c>
      <c r="L53" s="45" t="str">
        <f t="shared" si="12"/>
        <v/>
      </c>
      <c r="M53" s="46" t="str">
        <f t="shared" si="13"/>
        <v/>
      </c>
      <c r="N53" s="45" t="str">
        <f t="shared" si="14"/>
        <v/>
      </c>
      <c r="O53" s="43" t="str">
        <f t="shared" si="15"/>
        <v/>
      </c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 ht="30" customHeight="1">
      <c r="A54" s="47" t="str">
        <f>IF('CN-FR-DP'!E54="","",'CN-FR-DP'!E54)</f>
        <v/>
      </c>
      <c r="B54" s="48" t="str">
        <f>IF('CN-FR-DP'!G54="","",'CN-FR-DP'!G54)</f>
        <v/>
      </c>
      <c r="C54" s="47" t="str">
        <f>IF('CN-FR-DP'!J54="","",'CN-FR-DP'!J54)</f>
        <v/>
      </c>
      <c r="D54" s="49" t="str">
        <f>IF('CN-FR-DP'!H54="","",'CN-FR-DP'!H54)</f>
        <v/>
      </c>
      <c r="E54" s="49" t="str">
        <f>IF('CN-FR-DP'!I54="","",'CN-FR-DP'!I54)</f>
        <v/>
      </c>
      <c r="F54" s="49" t="str">
        <f t="shared" si="8"/>
        <v/>
      </c>
      <c r="G54" s="49" t="str">
        <f>IF('CN-FR-DP'!O54="","",'CN-FR-DP'!O54)</f>
        <v/>
      </c>
      <c r="H54" s="49" t="str">
        <f>IF('CN-FR-DP'!P54="","",'CN-FR-DP'!P54)</f>
        <v/>
      </c>
      <c r="I54" s="49" t="str">
        <f t="shared" si="9"/>
        <v/>
      </c>
      <c r="J54" s="49" t="str">
        <f t="shared" si="10"/>
        <v/>
      </c>
      <c r="K54" s="49" t="str">
        <f t="shared" si="11"/>
        <v/>
      </c>
      <c r="L54" s="49" t="str">
        <f t="shared" si="12"/>
        <v/>
      </c>
      <c r="M54" s="50" t="str">
        <f t="shared" si="13"/>
        <v/>
      </c>
      <c r="N54" s="49" t="str">
        <f t="shared" si="14"/>
        <v/>
      </c>
      <c r="O54" s="47" t="str">
        <f t="shared" si="15"/>
        <v/>
      </c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O2"/>
    <mergeCell ref="A3:O3"/>
  </mergeCells>
  <conditionalFormatting sqref="O5:O54">
    <cfRule type="containsText" dxfId="3" priority="1" operator="containsText" text="No overlap"/>
    <cfRule type="containsText" dxfId="2" priority="2" operator="containsText" text="Partial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AD47"/>
  </sheetPr>
  <dimension ref="A1:BD250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8" customWidth="1"/>
    <col min="2" max="2" width="12" customWidth="1"/>
    <col min="3" max="3" width="48" customWidth="1"/>
    <col min="4" max="4" width="12" customWidth="1"/>
    <col min="5" max="5" width="50" customWidth="1"/>
    <col min="6" max="8" width="14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267</v>
      </c>
      <c r="B2" s="63"/>
      <c r="C2" s="63"/>
      <c r="D2" s="63"/>
      <c r="E2" s="63"/>
      <c r="F2" s="63"/>
      <c r="G2" s="63"/>
      <c r="H2" s="63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64" t="s">
        <v>268</v>
      </c>
      <c r="B3" s="65"/>
      <c r="C3" s="65"/>
      <c r="D3" s="65"/>
      <c r="E3" s="65"/>
      <c r="F3" s="65"/>
      <c r="G3" s="65"/>
      <c r="H3" s="65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127</v>
      </c>
      <c r="B4" s="10" t="s">
        <v>131</v>
      </c>
      <c r="C4" s="10" t="s">
        <v>133</v>
      </c>
      <c r="D4" s="10" t="s">
        <v>137</v>
      </c>
      <c r="E4" s="10" t="s">
        <v>139</v>
      </c>
      <c r="F4" s="10" t="s">
        <v>269</v>
      </c>
      <c r="G4" s="10" t="s">
        <v>270</v>
      </c>
      <c r="H4" s="11" t="s">
        <v>145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25.5">
      <c r="A5" s="12">
        <v>1</v>
      </c>
      <c r="B5" s="12" t="s">
        <v>149</v>
      </c>
      <c r="C5" s="26" t="s">
        <v>150</v>
      </c>
      <c r="D5" s="26" t="s">
        <v>152</v>
      </c>
      <c r="E5" s="26" t="s">
        <v>153</v>
      </c>
      <c r="F5" s="12"/>
      <c r="G5" s="12"/>
      <c r="H5" s="12" t="s">
        <v>156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25.5">
      <c r="A6" s="13">
        <v>1</v>
      </c>
      <c r="B6" s="13" t="s">
        <v>159</v>
      </c>
      <c r="C6" s="27" t="s">
        <v>160</v>
      </c>
      <c r="D6" s="27" t="s">
        <v>161</v>
      </c>
      <c r="E6" s="27" t="s">
        <v>162</v>
      </c>
      <c r="F6" s="13"/>
      <c r="G6" s="13"/>
      <c r="H6" s="13" t="s">
        <v>165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3">
        <v>2</v>
      </c>
      <c r="B7" s="13" t="s">
        <v>166</v>
      </c>
      <c r="C7" s="27" t="s">
        <v>167</v>
      </c>
      <c r="D7" s="27" t="s">
        <v>168</v>
      </c>
      <c r="E7" s="27" t="s">
        <v>169</v>
      </c>
      <c r="F7" s="13" t="s">
        <v>159</v>
      </c>
      <c r="G7" s="13" t="s">
        <v>161</v>
      </c>
      <c r="H7" s="13" t="s">
        <v>156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13">
        <v>2</v>
      </c>
      <c r="B8" s="13" t="s">
        <v>172</v>
      </c>
      <c r="C8" s="27" t="s">
        <v>173</v>
      </c>
      <c r="D8" s="27" t="s">
        <v>174</v>
      </c>
      <c r="E8" s="27" t="s">
        <v>175</v>
      </c>
      <c r="F8" s="13" t="s">
        <v>159</v>
      </c>
      <c r="G8" s="13" t="s">
        <v>161</v>
      </c>
      <c r="H8" s="13" t="s">
        <v>156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25.5">
      <c r="A9" s="13">
        <v>2</v>
      </c>
      <c r="B9" s="13" t="s">
        <v>177</v>
      </c>
      <c r="C9" s="27" t="s">
        <v>178</v>
      </c>
      <c r="D9" s="27" t="s">
        <v>179</v>
      </c>
      <c r="E9" s="27" t="s">
        <v>180</v>
      </c>
      <c r="F9" s="13" t="s">
        <v>159</v>
      </c>
      <c r="G9" s="13" t="s">
        <v>161</v>
      </c>
      <c r="H9" s="13" t="s">
        <v>156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3">
        <v>1</v>
      </c>
      <c r="B10" s="13" t="s">
        <v>184</v>
      </c>
      <c r="C10" s="27" t="s">
        <v>185</v>
      </c>
      <c r="D10" s="27" t="s">
        <v>186</v>
      </c>
      <c r="E10" s="27" t="s">
        <v>187</v>
      </c>
      <c r="F10" s="13"/>
      <c r="G10" s="13"/>
      <c r="H10" s="13" t="s">
        <v>156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25.5">
      <c r="A11" s="13">
        <v>1</v>
      </c>
      <c r="B11" s="13" t="s">
        <v>191</v>
      </c>
      <c r="C11" s="27" t="s">
        <v>192</v>
      </c>
      <c r="D11" s="27" t="s">
        <v>193</v>
      </c>
      <c r="E11" s="27" t="s">
        <v>194</v>
      </c>
      <c r="F11" s="13"/>
      <c r="G11" s="13"/>
      <c r="H11" s="13" t="s">
        <v>156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25.5">
      <c r="A12" s="13">
        <v>1</v>
      </c>
      <c r="B12" s="13" t="s">
        <v>200</v>
      </c>
      <c r="C12" s="27" t="s">
        <v>201</v>
      </c>
      <c r="D12" s="27" t="s">
        <v>202</v>
      </c>
      <c r="E12" s="27" t="s">
        <v>203</v>
      </c>
      <c r="F12" s="13"/>
      <c r="G12" s="13"/>
      <c r="H12" s="13" t="s">
        <v>156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ht="25.5">
      <c r="A13" s="13">
        <v>1</v>
      </c>
      <c r="B13" s="13" t="s">
        <v>209</v>
      </c>
      <c r="C13" s="27" t="s">
        <v>210</v>
      </c>
      <c r="D13" s="27" t="s">
        <v>211</v>
      </c>
      <c r="E13" s="27" t="s">
        <v>212</v>
      </c>
      <c r="F13" s="13"/>
      <c r="G13" s="13"/>
      <c r="H13" s="13" t="s">
        <v>156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3">
        <v>1</v>
      </c>
      <c r="B14" s="13" t="s">
        <v>219</v>
      </c>
      <c r="C14" s="27" t="s">
        <v>220</v>
      </c>
      <c r="D14" s="27" t="s">
        <v>221</v>
      </c>
      <c r="E14" s="27" t="s">
        <v>222</v>
      </c>
      <c r="F14" s="13"/>
      <c r="G14" s="13"/>
      <c r="H14" s="13" t="s">
        <v>156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ht="25.5">
      <c r="A15" s="13">
        <v>1</v>
      </c>
      <c r="B15" s="13" t="s">
        <v>227</v>
      </c>
      <c r="C15" s="27" t="s">
        <v>228</v>
      </c>
      <c r="D15" s="27" t="s">
        <v>229</v>
      </c>
      <c r="E15" s="27" t="s">
        <v>230</v>
      </c>
      <c r="F15" s="13"/>
      <c r="G15" s="13"/>
      <c r="H15" s="13" t="s">
        <v>156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25.5">
      <c r="A16" s="13">
        <v>1</v>
      </c>
      <c r="B16" s="13" t="s">
        <v>236</v>
      </c>
      <c r="C16" s="27" t="s">
        <v>237</v>
      </c>
      <c r="D16" s="27" t="s">
        <v>238</v>
      </c>
      <c r="E16" s="27" t="s">
        <v>239</v>
      </c>
      <c r="F16" s="13"/>
      <c r="G16" s="13"/>
      <c r="H16" s="13" t="s">
        <v>156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25.5">
      <c r="A17" s="51">
        <v>1</v>
      </c>
      <c r="B17" s="51" t="s">
        <v>245</v>
      </c>
      <c r="C17" s="28" t="s">
        <v>246</v>
      </c>
      <c r="D17" s="28" t="s">
        <v>247</v>
      </c>
      <c r="E17" s="28" t="s">
        <v>248</v>
      </c>
      <c r="F17" s="51"/>
      <c r="G17" s="51"/>
      <c r="H17" s="51" t="s">
        <v>156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H2"/>
    <mergeCell ref="A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A5A5A5"/>
  </sheetPr>
  <dimension ref="A1:BD250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14" customWidth="1"/>
    <col min="2" max="3" width="48" customWidth="1"/>
    <col min="4" max="4" width="18" customWidth="1"/>
    <col min="5" max="5" width="16" customWidth="1"/>
    <col min="6" max="6" width="14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8</v>
      </c>
      <c r="B2" s="63"/>
      <c r="C2" s="63"/>
      <c r="D2" s="63"/>
      <c r="E2" s="63"/>
      <c r="F2" s="6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64" t="s">
        <v>271</v>
      </c>
      <c r="B3" s="65"/>
      <c r="C3" s="65"/>
      <c r="D3" s="65"/>
      <c r="E3" s="65"/>
      <c r="F3" s="6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272</v>
      </c>
      <c r="B4" s="10" t="s">
        <v>273</v>
      </c>
      <c r="C4" s="10" t="s">
        <v>274</v>
      </c>
      <c r="D4" s="10" t="s">
        <v>275</v>
      </c>
      <c r="E4" s="10" t="s">
        <v>144</v>
      </c>
      <c r="F4" s="11" t="s">
        <v>276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6" t="s">
        <v>196</v>
      </c>
      <c r="B5" s="17" t="s">
        <v>277</v>
      </c>
      <c r="C5" s="17" t="s">
        <v>278</v>
      </c>
      <c r="D5" s="17" t="s">
        <v>279</v>
      </c>
      <c r="E5" s="17"/>
      <c r="F5" s="18" t="s">
        <v>156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19" t="s">
        <v>280</v>
      </c>
      <c r="B6" s="20" t="s">
        <v>281</v>
      </c>
      <c r="C6" s="20" t="s">
        <v>282</v>
      </c>
      <c r="D6" s="20" t="s">
        <v>283</v>
      </c>
      <c r="E6" s="20"/>
      <c r="F6" s="21" t="s">
        <v>156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9" t="s">
        <v>284</v>
      </c>
      <c r="B7" s="20" t="s">
        <v>285</v>
      </c>
      <c r="C7" s="20" t="s">
        <v>286</v>
      </c>
      <c r="D7" s="20" t="s">
        <v>287</v>
      </c>
      <c r="E7" s="20"/>
      <c r="F7" s="21" t="s">
        <v>156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19" t="s">
        <v>241</v>
      </c>
      <c r="B8" s="20" t="s">
        <v>288</v>
      </c>
      <c r="C8" s="20" t="s">
        <v>289</v>
      </c>
      <c r="D8" s="20" t="s">
        <v>290</v>
      </c>
      <c r="E8" s="20"/>
      <c r="F8" s="2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9" t="s">
        <v>291</v>
      </c>
      <c r="B9" s="20" t="s">
        <v>292</v>
      </c>
      <c r="C9" s="20" t="s">
        <v>293</v>
      </c>
      <c r="D9" s="20" t="s">
        <v>294</v>
      </c>
      <c r="E9" s="20"/>
      <c r="F9" s="21" t="s">
        <v>156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9" t="s">
        <v>223</v>
      </c>
      <c r="B10" s="20" t="s">
        <v>295</v>
      </c>
      <c r="C10" s="20" t="s">
        <v>296</v>
      </c>
      <c r="D10" s="20" t="s">
        <v>297</v>
      </c>
      <c r="E10" s="20"/>
      <c r="F10" s="21" t="s">
        <v>156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9" t="s">
        <v>298</v>
      </c>
      <c r="B11" s="20" t="s">
        <v>299</v>
      </c>
      <c r="C11" s="20" t="s">
        <v>300</v>
      </c>
      <c r="D11" s="20" t="s">
        <v>301</v>
      </c>
      <c r="E11" s="20"/>
      <c r="F11" s="21" t="s">
        <v>156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9" t="s">
        <v>302</v>
      </c>
      <c r="B12" s="20" t="s">
        <v>303</v>
      </c>
      <c r="C12" s="20" t="s">
        <v>304</v>
      </c>
      <c r="D12" s="20" t="s">
        <v>279</v>
      </c>
      <c r="E12" s="20"/>
      <c r="F12" s="21" t="s">
        <v>156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9" t="s">
        <v>305</v>
      </c>
      <c r="B13" s="20" t="s">
        <v>306</v>
      </c>
      <c r="C13" s="20" t="s">
        <v>307</v>
      </c>
      <c r="D13" s="20" t="s">
        <v>308</v>
      </c>
      <c r="E13" s="20"/>
      <c r="F13" s="21" t="s">
        <v>156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9"/>
      <c r="B14" s="20"/>
      <c r="C14" s="20"/>
      <c r="D14" s="20"/>
      <c r="E14" s="20"/>
      <c r="F14" s="2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9"/>
      <c r="B15" s="20"/>
      <c r="C15" s="20"/>
      <c r="D15" s="20"/>
      <c r="E15" s="20"/>
      <c r="F15" s="2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9"/>
      <c r="B16" s="20"/>
      <c r="C16" s="20"/>
      <c r="D16" s="20"/>
      <c r="E16" s="20"/>
      <c r="F16" s="2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9"/>
      <c r="B17" s="20"/>
      <c r="C17" s="20"/>
      <c r="D17" s="20"/>
      <c r="E17" s="20"/>
      <c r="F17" s="2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9"/>
      <c r="B18" s="20"/>
      <c r="C18" s="20"/>
      <c r="D18" s="20"/>
      <c r="E18" s="20"/>
      <c r="F18" s="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9"/>
      <c r="B19" s="20"/>
      <c r="C19" s="20"/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9"/>
      <c r="B20" s="20"/>
      <c r="C20" s="20"/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9"/>
      <c r="B21" s="20"/>
      <c r="C21" s="20"/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9"/>
      <c r="B22" s="20"/>
      <c r="C22" s="20"/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9"/>
      <c r="B23" s="20"/>
      <c r="C23" s="20"/>
      <c r="D23" s="20"/>
      <c r="E23" s="20"/>
      <c r="F23" s="2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9"/>
      <c r="B24" s="20"/>
      <c r="C24" s="20"/>
      <c r="D24" s="20"/>
      <c r="E24" s="20"/>
      <c r="F24" s="2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9"/>
      <c r="B25" s="20"/>
      <c r="C25" s="20"/>
      <c r="D25" s="20"/>
      <c r="E25" s="20"/>
      <c r="F25" s="2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9"/>
      <c r="B26" s="20"/>
      <c r="C26" s="20"/>
      <c r="D26" s="20"/>
      <c r="E26" s="20"/>
      <c r="F26" s="2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9"/>
      <c r="B27" s="20"/>
      <c r="C27" s="20"/>
      <c r="D27" s="20"/>
      <c r="E27" s="20"/>
      <c r="F27" s="2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9"/>
      <c r="B28" s="20"/>
      <c r="C28" s="20"/>
      <c r="D28" s="20"/>
      <c r="E28" s="20"/>
      <c r="F28" s="2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9"/>
      <c r="B29" s="20"/>
      <c r="C29" s="20"/>
      <c r="D29" s="20"/>
      <c r="E29" s="20"/>
      <c r="F29" s="2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9"/>
      <c r="B30" s="20"/>
      <c r="C30" s="20"/>
      <c r="D30" s="20"/>
      <c r="E30" s="20"/>
      <c r="F30" s="2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9"/>
      <c r="B31" s="20"/>
      <c r="C31" s="20"/>
      <c r="D31" s="20"/>
      <c r="E31" s="20"/>
      <c r="F31" s="2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9"/>
      <c r="B32" s="20"/>
      <c r="C32" s="20"/>
      <c r="D32" s="20"/>
      <c r="E32" s="20"/>
      <c r="F32" s="2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9"/>
      <c r="B33" s="20"/>
      <c r="C33" s="20"/>
      <c r="D33" s="20"/>
      <c r="E33" s="20"/>
      <c r="F33" s="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9"/>
      <c r="B34" s="20"/>
      <c r="C34" s="20"/>
      <c r="D34" s="20"/>
      <c r="E34" s="20"/>
      <c r="F34" s="2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9"/>
      <c r="B35" s="20"/>
      <c r="C35" s="20"/>
      <c r="D35" s="20"/>
      <c r="E35" s="20"/>
      <c r="F35" s="2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9"/>
      <c r="B36" s="20"/>
      <c r="C36" s="20"/>
      <c r="D36" s="20"/>
      <c r="E36" s="20"/>
      <c r="F36" s="2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9"/>
      <c r="B37" s="20"/>
      <c r="C37" s="20"/>
      <c r="D37" s="20"/>
      <c r="E37" s="20"/>
      <c r="F37" s="2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9"/>
      <c r="B38" s="20"/>
      <c r="C38" s="20"/>
      <c r="D38" s="20"/>
      <c r="E38" s="20"/>
      <c r="F38" s="2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9"/>
      <c r="B39" s="20"/>
      <c r="C39" s="20"/>
      <c r="D39" s="20"/>
      <c r="E39" s="20"/>
      <c r="F39" s="2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9"/>
      <c r="B40" s="20"/>
      <c r="C40" s="20"/>
      <c r="D40" s="20"/>
      <c r="E40" s="20"/>
      <c r="F40" s="2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9"/>
      <c r="B41" s="20"/>
      <c r="C41" s="20"/>
      <c r="D41" s="20"/>
      <c r="E41" s="20"/>
      <c r="F41" s="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9"/>
      <c r="B42" s="20"/>
      <c r="C42" s="20"/>
      <c r="D42" s="20"/>
      <c r="E42" s="20"/>
      <c r="F42" s="2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9"/>
      <c r="B43" s="20"/>
      <c r="C43" s="20"/>
      <c r="D43" s="20"/>
      <c r="E43" s="20"/>
      <c r="F43" s="2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9"/>
      <c r="B44" s="20"/>
      <c r="C44" s="20"/>
      <c r="D44" s="20"/>
      <c r="E44" s="20"/>
      <c r="F44" s="2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9"/>
      <c r="B45" s="20"/>
      <c r="C45" s="20"/>
      <c r="D45" s="20"/>
      <c r="E45" s="20"/>
      <c r="F45" s="2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9"/>
      <c r="B46" s="20"/>
      <c r="C46" s="20"/>
      <c r="D46" s="20"/>
      <c r="E46" s="20"/>
      <c r="F46" s="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9"/>
      <c r="B47" s="20"/>
      <c r="C47" s="20"/>
      <c r="D47" s="20"/>
      <c r="E47" s="20"/>
      <c r="F47" s="2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9"/>
      <c r="B48" s="20"/>
      <c r="C48" s="20"/>
      <c r="D48" s="20"/>
      <c r="E48" s="20"/>
      <c r="F48" s="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9"/>
      <c r="B49" s="20"/>
      <c r="C49" s="20"/>
      <c r="D49" s="20"/>
      <c r="E49" s="20"/>
      <c r="F49" s="2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9"/>
      <c r="B50" s="20"/>
      <c r="C50" s="20"/>
      <c r="D50" s="20"/>
      <c r="E50" s="20"/>
      <c r="F50" s="2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9"/>
      <c r="B51" s="20"/>
      <c r="C51" s="20"/>
      <c r="D51" s="20"/>
      <c r="E51" s="20"/>
      <c r="F51" s="2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9"/>
      <c r="B52" s="20"/>
      <c r="C52" s="20"/>
      <c r="D52" s="20"/>
      <c r="E52" s="20"/>
      <c r="F52" s="2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9"/>
      <c r="B53" s="20"/>
      <c r="C53" s="20"/>
      <c r="D53" s="20"/>
      <c r="E53" s="20"/>
      <c r="F53" s="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9"/>
      <c r="B54" s="20"/>
      <c r="C54" s="20"/>
      <c r="D54" s="20"/>
      <c r="E54" s="20"/>
      <c r="F54" s="2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9"/>
      <c r="B55" s="20"/>
      <c r="C55" s="20"/>
      <c r="D55" s="20"/>
      <c r="E55" s="20"/>
      <c r="F55" s="2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9"/>
      <c r="B56" s="20"/>
      <c r="C56" s="20"/>
      <c r="D56" s="20"/>
      <c r="E56" s="20"/>
      <c r="F56" s="2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9"/>
      <c r="B57" s="20"/>
      <c r="C57" s="20"/>
      <c r="D57" s="20"/>
      <c r="E57" s="20"/>
      <c r="F57" s="2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9"/>
      <c r="B58" s="20"/>
      <c r="C58" s="20"/>
      <c r="D58" s="20"/>
      <c r="E58" s="20"/>
      <c r="F58" s="2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9"/>
      <c r="B59" s="20"/>
      <c r="C59" s="20"/>
      <c r="D59" s="20"/>
      <c r="E59" s="20"/>
      <c r="F59" s="2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9"/>
      <c r="B60" s="20"/>
      <c r="C60" s="20"/>
      <c r="D60" s="20"/>
      <c r="E60" s="20"/>
      <c r="F60" s="2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9"/>
      <c r="B61" s="20"/>
      <c r="C61" s="20"/>
      <c r="D61" s="20"/>
      <c r="E61" s="20"/>
      <c r="F61" s="2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9"/>
      <c r="B62" s="20"/>
      <c r="C62" s="20"/>
      <c r="D62" s="20"/>
      <c r="E62" s="20"/>
      <c r="F62" s="2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9"/>
      <c r="B63" s="20"/>
      <c r="C63" s="20"/>
      <c r="D63" s="20"/>
      <c r="E63" s="20"/>
      <c r="F63" s="2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9"/>
      <c r="B64" s="20"/>
      <c r="C64" s="20"/>
      <c r="D64" s="20"/>
      <c r="E64" s="20"/>
      <c r="F64" s="2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9"/>
      <c r="B65" s="20"/>
      <c r="C65" s="20"/>
      <c r="D65" s="20"/>
      <c r="E65" s="20"/>
      <c r="F65" s="2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9"/>
      <c r="B66" s="20"/>
      <c r="C66" s="20"/>
      <c r="D66" s="20"/>
      <c r="E66" s="20"/>
      <c r="F66" s="2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9"/>
      <c r="B67" s="20"/>
      <c r="C67" s="20"/>
      <c r="D67" s="20"/>
      <c r="E67" s="20"/>
      <c r="F67" s="2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9"/>
      <c r="B68" s="20"/>
      <c r="C68" s="20"/>
      <c r="D68" s="20"/>
      <c r="E68" s="20"/>
      <c r="F68" s="2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9"/>
      <c r="B69" s="20"/>
      <c r="C69" s="20"/>
      <c r="D69" s="20"/>
      <c r="E69" s="20"/>
      <c r="F69" s="2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9"/>
      <c r="B70" s="20"/>
      <c r="C70" s="20"/>
      <c r="D70" s="20"/>
      <c r="E70" s="20"/>
      <c r="F70" s="2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9"/>
      <c r="B71" s="20"/>
      <c r="C71" s="20"/>
      <c r="D71" s="20"/>
      <c r="E71" s="20"/>
      <c r="F71" s="2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9"/>
      <c r="B72" s="20"/>
      <c r="C72" s="20"/>
      <c r="D72" s="20"/>
      <c r="E72" s="20"/>
      <c r="F72" s="2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9"/>
      <c r="B73" s="20"/>
      <c r="C73" s="20"/>
      <c r="D73" s="20"/>
      <c r="E73" s="20"/>
      <c r="F73" s="2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9"/>
      <c r="B74" s="20"/>
      <c r="C74" s="20"/>
      <c r="D74" s="20"/>
      <c r="E74" s="20"/>
      <c r="F74" s="2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9"/>
      <c r="B75" s="20"/>
      <c r="C75" s="20"/>
      <c r="D75" s="20"/>
      <c r="E75" s="20"/>
      <c r="F75" s="2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9"/>
      <c r="B76" s="20"/>
      <c r="C76" s="20"/>
      <c r="D76" s="20"/>
      <c r="E76" s="20"/>
      <c r="F76" s="2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9"/>
      <c r="B77" s="20"/>
      <c r="C77" s="20"/>
      <c r="D77" s="20"/>
      <c r="E77" s="20"/>
      <c r="F77" s="2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9"/>
      <c r="B78" s="20"/>
      <c r="C78" s="20"/>
      <c r="D78" s="20"/>
      <c r="E78" s="20"/>
      <c r="F78" s="2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9"/>
      <c r="B79" s="20"/>
      <c r="C79" s="20"/>
      <c r="D79" s="20"/>
      <c r="E79" s="20"/>
      <c r="F79" s="2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9"/>
      <c r="B80" s="20"/>
      <c r="C80" s="20"/>
      <c r="D80" s="20"/>
      <c r="E80" s="20"/>
      <c r="F80" s="2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9"/>
      <c r="B81" s="20"/>
      <c r="C81" s="20"/>
      <c r="D81" s="20"/>
      <c r="E81" s="20"/>
      <c r="F81" s="2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9"/>
      <c r="B82" s="20"/>
      <c r="C82" s="20"/>
      <c r="D82" s="20"/>
      <c r="E82" s="20"/>
      <c r="F82" s="2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9"/>
      <c r="B83" s="20"/>
      <c r="C83" s="20"/>
      <c r="D83" s="20"/>
      <c r="E83" s="20"/>
      <c r="F83" s="2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9"/>
      <c r="B84" s="20"/>
      <c r="C84" s="20"/>
      <c r="D84" s="20"/>
      <c r="E84" s="20"/>
      <c r="F84" s="2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9"/>
      <c r="B85" s="20"/>
      <c r="C85" s="20"/>
      <c r="D85" s="20"/>
      <c r="E85" s="20"/>
      <c r="F85" s="2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9"/>
      <c r="B86" s="20"/>
      <c r="C86" s="20"/>
      <c r="D86" s="20"/>
      <c r="E86" s="20"/>
      <c r="F86" s="2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9"/>
      <c r="B87" s="20"/>
      <c r="C87" s="20"/>
      <c r="D87" s="20"/>
      <c r="E87" s="20"/>
      <c r="F87" s="2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9"/>
      <c r="B88" s="20"/>
      <c r="C88" s="20"/>
      <c r="D88" s="20"/>
      <c r="E88" s="20"/>
      <c r="F88" s="2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9"/>
      <c r="B89" s="20"/>
      <c r="C89" s="20"/>
      <c r="D89" s="20"/>
      <c r="E89" s="20"/>
      <c r="F89" s="2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9"/>
      <c r="B90" s="20"/>
      <c r="C90" s="20"/>
      <c r="D90" s="20"/>
      <c r="E90" s="20"/>
      <c r="F90" s="2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9"/>
      <c r="B91" s="20"/>
      <c r="C91" s="20"/>
      <c r="D91" s="20"/>
      <c r="E91" s="20"/>
      <c r="F91" s="2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9"/>
      <c r="B92" s="20"/>
      <c r="C92" s="20"/>
      <c r="D92" s="20"/>
      <c r="E92" s="20"/>
      <c r="F92" s="2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9"/>
      <c r="B93" s="20"/>
      <c r="C93" s="20"/>
      <c r="D93" s="20"/>
      <c r="E93" s="20"/>
      <c r="F93" s="2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9"/>
      <c r="B94" s="20"/>
      <c r="C94" s="20"/>
      <c r="D94" s="20"/>
      <c r="E94" s="20"/>
      <c r="F94" s="2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9"/>
      <c r="B95" s="20"/>
      <c r="C95" s="20"/>
      <c r="D95" s="20"/>
      <c r="E95" s="20"/>
      <c r="F95" s="2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9"/>
      <c r="B96" s="20"/>
      <c r="C96" s="20"/>
      <c r="D96" s="20"/>
      <c r="E96" s="20"/>
      <c r="F96" s="2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9"/>
      <c r="B97" s="20"/>
      <c r="C97" s="20"/>
      <c r="D97" s="20"/>
      <c r="E97" s="20"/>
      <c r="F97" s="2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9"/>
      <c r="B98" s="20"/>
      <c r="C98" s="20"/>
      <c r="D98" s="20"/>
      <c r="E98" s="20"/>
      <c r="F98" s="2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9"/>
      <c r="B99" s="20"/>
      <c r="C99" s="20"/>
      <c r="D99" s="20"/>
      <c r="E99" s="20"/>
      <c r="F99" s="2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9"/>
      <c r="B100" s="20"/>
      <c r="C100" s="20"/>
      <c r="D100" s="20"/>
      <c r="E100" s="20"/>
      <c r="F100" s="2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9"/>
      <c r="B101" s="20"/>
      <c r="C101" s="20"/>
      <c r="D101" s="20"/>
      <c r="E101" s="20"/>
      <c r="F101" s="2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9"/>
      <c r="B102" s="20"/>
      <c r="C102" s="20"/>
      <c r="D102" s="20"/>
      <c r="E102" s="20"/>
      <c r="F102" s="2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9"/>
      <c r="B103" s="20"/>
      <c r="C103" s="20"/>
      <c r="D103" s="20"/>
      <c r="E103" s="20"/>
      <c r="F103" s="2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22"/>
      <c r="B104" s="23"/>
      <c r="C104" s="23"/>
      <c r="D104" s="23"/>
      <c r="E104" s="23"/>
      <c r="F104" s="24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F2"/>
    <mergeCell ref="A3:F3"/>
  </mergeCells>
  <dataValidations count="1">
    <dataValidation type="list" sqref="F5:F104" xr:uid="{00000000-0002-0000-0600-000000000000}">
      <formula1>"Draft,Review,Approved,Retired"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ED7D31"/>
  </sheetPr>
  <dimension ref="A1:BD250"/>
  <sheetViews>
    <sheetView showGridLines="0" workbookViewId="0">
      <pane ySplit="6" topLeftCell="A7" activePane="bottomLeft" state="frozen"/>
      <selection pane="bottomLeft"/>
    </sheetView>
  </sheetViews>
  <sheetFormatPr defaultRowHeight="14.25"/>
  <cols>
    <col min="1" max="1" width="12" customWidth="1"/>
    <col min="2" max="2" width="44" customWidth="1"/>
    <col min="3" max="3" width="12" customWidth="1"/>
    <col min="4" max="4" width="46" customWidth="1"/>
    <col min="5" max="5" width="28" customWidth="1"/>
    <col min="6" max="6" width="48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44</v>
      </c>
      <c r="B2" s="63"/>
      <c r="C2" s="63"/>
      <c r="D2" s="63"/>
      <c r="E2" s="63"/>
      <c r="F2" s="6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64" t="s">
        <v>309</v>
      </c>
      <c r="B3" s="65"/>
      <c r="C3" s="65"/>
      <c r="D3" s="65"/>
      <c r="E3" s="65"/>
      <c r="F3" s="6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52" t="s">
        <v>310</v>
      </c>
      <c r="B4" s="53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9" t="s">
        <v>131</v>
      </c>
      <c r="B6" s="10" t="s">
        <v>133</v>
      </c>
      <c r="C6" s="10" t="s">
        <v>137</v>
      </c>
      <c r="D6" s="10" t="s">
        <v>139</v>
      </c>
      <c r="E6" s="10" t="s">
        <v>311</v>
      </c>
      <c r="F6" s="11" t="s">
        <v>312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ED7D31"/>
  </sheetPr>
  <dimension ref="A1:BD504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12" customWidth="1"/>
    <col min="2" max="2" width="18" customWidth="1"/>
    <col min="3" max="4" width="48" customWidth="1"/>
    <col min="5" max="5" width="20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313</v>
      </c>
      <c r="B2" s="63"/>
      <c r="C2" s="63"/>
      <c r="D2" s="63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64" t="s">
        <v>314</v>
      </c>
      <c r="B3" s="65"/>
      <c r="C3" s="65"/>
      <c r="D3" s="65"/>
      <c r="E3" s="65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315</v>
      </c>
      <c r="B4" s="10" t="s">
        <v>316</v>
      </c>
      <c r="C4" s="10" t="s">
        <v>317</v>
      </c>
      <c r="D4" s="10" t="s">
        <v>312</v>
      </c>
      <c r="E4" s="11" t="s">
        <v>318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39" t="s">
        <v>319</v>
      </c>
      <c r="B5" s="39" t="s">
        <v>320</v>
      </c>
      <c r="C5" s="39" t="s">
        <v>321</v>
      </c>
      <c r="D5" s="39" t="s">
        <v>322</v>
      </c>
      <c r="E5" s="56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43"/>
      <c r="B6" s="43"/>
      <c r="C6" s="43"/>
      <c r="D6" s="43"/>
      <c r="E6" s="57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43"/>
      <c r="B7" s="43"/>
      <c r="C7" s="43"/>
      <c r="D7" s="43"/>
      <c r="E7" s="57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43"/>
      <c r="B8" s="43"/>
      <c r="C8" s="43"/>
      <c r="D8" s="43"/>
      <c r="E8" s="57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43"/>
      <c r="B9" s="43"/>
      <c r="C9" s="43"/>
      <c r="D9" s="43"/>
      <c r="E9" s="57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43"/>
      <c r="B10" s="43"/>
      <c r="C10" s="43"/>
      <c r="D10" s="43"/>
      <c r="E10" s="5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43"/>
      <c r="B11" s="43"/>
      <c r="C11" s="43"/>
      <c r="D11" s="43"/>
      <c r="E11" s="5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43"/>
      <c r="B12" s="43"/>
      <c r="C12" s="43"/>
      <c r="D12" s="43"/>
      <c r="E12" s="57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43"/>
      <c r="B13" s="43"/>
      <c r="C13" s="43"/>
      <c r="D13" s="43"/>
      <c r="E13" s="5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43"/>
      <c r="B14" s="43"/>
      <c r="C14" s="43"/>
      <c r="D14" s="43"/>
      <c r="E14" s="5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43"/>
      <c r="B15" s="43"/>
      <c r="C15" s="43"/>
      <c r="D15" s="43"/>
      <c r="E15" s="57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43"/>
      <c r="B16" s="43"/>
      <c r="C16" s="43"/>
      <c r="D16" s="43"/>
      <c r="E16" s="5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43"/>
      <c r="B17" s="43"/>
      <c r="C17" s="43"/>
      <c r="D17" s="43"/>
      <c r="E17" s="5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43"/>
      <c r="B18" s="43"/>
      <c r="C18" s="43"/>
      <c r="D18" s="43"/>
      <c r="E18" s="57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43"/>
      <c r="B19" s="43"/>
      <c r="C19" s="43"/>
      <c r="D19" s="43"/>
      <c r="E19" s="57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43"/>
      <c r="B20" s="43"/>
      <c r="C20" s="43"/>
      <c r="D20" s="43"/>
      <c r="E20" s="57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43"/>
      <c r="B21" s="43"/>
      <c r="C21" s="43"/>
      <c r="D21" s="43"/>
      <c r="E21" s="57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43"/>
      <c r="B22" s="43"/>
      <c r="C22" s="43"/>
      <c r="D22" s="43"/>
      <c r="E22" s="57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43"/>
      <c r="B23" s="43"/>
      <c r="C23" s="43"/>
      <c r="D23" s="43"/>
      <c r="E23" s="57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43"/>
      <c r="B24" s="43"/>
      <c r="C24" s="43"/>
      <c r="D24" s="43"/>
      <c r="E24" s="5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43"/>
      <c r="B25" s="43"/>
      <c r="C25" s="43"/>
      <c r="D25" s="43"/>
      <c r="E25" s="57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43"/>
      <c r="B26" s="43"/>
      <c r="C26" s="43"/>
      <c r="D26" s="43"/>
      <c r="E26" s="57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43"/>
      <c r="B27" s="43"/>
      <c r="C27" s="43"/>
      <c r="D27" s="43"/>
      <c r="E27" s="57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43"/>
      <c r="B28" s="43"/>
      <c r="C28" s="43"/>
      <c r="D28" s="43"/>
      <c r="E28" s="57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43"/>
      <c r="B29" s="43"/>
      <c r="C29" s="43"/>
      <c r="D29" s="43"/>
      <c r="E29" s="57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43"/>
      <c r="B30" s="43"/>
      <c r="C30" s="43"/>
      <c r="D30" s="43"/>
      <c r="E30" s="57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43"/>
      <c r="B31" s="43"/>
      <c r="C31" s="43"/>
      <c r="D31" s="43"/>
      <c r="E31" s="57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43"/>
      <c r="B32" s="43"/>
      <c r="C32" s="43"/>
      <c r="D32" s="43"/>
      <c r="E32" s="57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43"/>
      <c r="B33" s="43"/>
      <c r="C33" s="43"/>
      <c r="D33" s="43"/>
      <c r="E33" s="57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43"/>
      <c r="B34" s="43"/>
      <c r="C34" s="43"/>
      <c r="D34" s="43"/>
      <c r="E34" s="57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43"/>
      <c r="B35" s="43"/>
      <c r="C35" s="43"/>
      <c r="D35" s="43"/>
      <c r="E35" s="57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43"/>
      <c r="B36" s="43"/>
      <c r="C36" s="43"/>
      <c r="D36" s="43"/>
      <c r="E36" s="57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43"/>
      <c r="B37" s="43"/>
      <c r="C37" s="43"/>
      <c r="D37" s="43"/>
      <c r="E37" s="57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43"/>
      <c r="B38" s="43"/>
      <c r="C38" s="43"/>
      <c r="D38" s="43"/>
      <c r="E38" s="57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43"/>
      <c r="B39" s="43"/>
      <c r="C39" s="43"/>
      <c r="D39" s="43"/>
      <c r="E39" s="57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43"/>
      <c r="B40" s="43"/>
      <c r="C40" s="43"/>
      <c r="D40" s="43"/>
      <c r="E40" s="57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43"/>
      <c r="B41" s="43"/>
      <c r="C41" s="43"/>
      <c r="D41" s="43"/>
      <c r="E41" s="57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43"/>
      <c r="B42" s="43"/>
      <c r="C42" s="43"/>
      <c r="D42" s="43"/>
      <c r="E42" s="57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43"/>
      <c r="B43" s="43"/>
      <c r="C43" s="43"/>
      <c r="D43" s="43"/>
      <c r="E43" s="57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43"/>
      <c r="B44" s="43"/>
      <c r="C44" s="43"/>
      <c r="D44" s="43"/>
      <c r="E44" s="5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43"/>
      <c r="B45" s="43"/>
      <c r="C45" s="43"/>
      <c r="D45" s="43"/>
      <c r="E45" s="5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43"/>
      <c r="B46" s="43"/>
      <c r="C46" s="43"/>
      <c r="D46" s="43"/>
      <c r="E46" s="5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43"/>
      <c r="B47" s="43"/>
      <c r="C47" s="43"/>
      <c r="D47" s="43"/>
      <c r="E47" s="5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43"/>
      <c r="B48" s="43"/>
      <c r="C48" s="43"/>
      <c r="D48" s="43"/>
      <c r="E48" s="5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43"/>
      <c r="B49" s="43"/>
      <c r="C49" s="43"/>
      <c r="D49" s="43"/>
      <c r="E49" s="5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43"/>
      <c r="B50" s="43"/>
      <c r="C50" s="43"/>
      <c r="D50" s="43"/>
      <c r="E50" s="57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43"/>
      <c r="B51" s="43"/>
      <c r="C51" s="43"/>
      <c r="D51" s="43"/>
      <c r="E51" s="57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43"/>
      <c r="B52" s="43"/>
      <c r="C52" s="43"/>
      <c r="D52" s="43"/>
      <c r="E52" s="57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43"/>
      <c r="B53" s="43"/>
      <c r="C53" s="43"/>
      <c r="D53" s="43"/>
      <c r="E53" s="57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43"/>
      <c r="B54" s="43"/>
      <c r="C54" s="43"/>
      <c r="D54" s="43"/>
      <c r="E54" s="57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43"/>
      <c r="B55" s="43"/>
      <c r="C55" s="43"/>
      <c r="D55" s="43"/>
      <c r="E55" s="57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43"/>
      <c r="B56" s="43"/>
      <c r="C56" s="43"/>
      <c r="D56" s="43"/>
      <c r="E56" s="57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43"/>
      <c r="B57" s="43"/>
      <c r="C57" s="43"/>
      <c r="D57" s="43"/>
      <c r="E57" s="57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43"/>
      <c r="B58" s="43"/>
      <c r="C58" s="43"/>
      <c r="D58" s="43"/>
      <c r="E58" s="57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43"/>
      <c r="B59" s="43"/>
      <c r="C59" s="43"/>
      <c r="D59" s="43"/>
      <c r="E59" s="57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43"/>
      <c r="B60" s="43"/>
      <c r="C60" s="43"/>
      <c r="D60" s="43"/>
      <c r="E60" s="57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43"/>
      <c r="B61" s="43"/>
      <c r="C61" s="43"/>
      <c r="D61" s="43"/>
      <c r="E61" s="57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43"/>
      <c r="B62" s="43"/>
      <c r="C62" s="43"/>
      <c r="D62" s="43"/>
      <c r="E62" s="57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43"/>
      <c r="B63" s="43"/>
      <c r="C63" s="43"/>
      <c r="D63" s="43"/>
      <c r="E63" s="57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43"/>
      <c r="B64" s="43"/>
      <c r="C64" s="43"/>
      <c r="D64" s="43"/>
      <c r="E64" s="57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43"/>
      <c r="B65" s="43"/>
      <c r="C65" s="43"/>
      <c r="D65" s="43"/>
      <c r="E65" s="57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43"/>
      <c r="B66" s="43"/>
      <c r="C66" s="43"/>
      <c r="D66" s="43"/>
      <c r="E66" s="57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43"/>
      <c r="B67" s="43"/>
      <c r="C67" s="43"/>
      <c r="D67" s="43"/>
      <c r="E67" s="57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43"/>
      <c r="B68" s="43"/>
      <c r="C68" s="43"/>
      <c r="D68" s="43"/>
      <c r="E68" s="57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43"/>
      <c r="B69" s="43"/>
      <c r="C69" s="43"/>
      <c r="D69" s="43"/>
      <c r="E69" s="57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43"/>
      <c r="B70" s="43"/>
      <c r="C70" s="43"/>
      <c r="D70" s="43"/>
      <c r="E70" s="57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43"/>
      <c r="B71" s="43"/>
      <c r="C71" s="43"/>
      <c r="D71" s="43"/>
      <c r="E71" s="57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43"/>
      <c r="B72" s="43"/>
      <c r="C72" s="43"/>
      <c r="D72" s="43"/>
      <c r="E72" s="57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43"/>
      <c r="B73" s="43"/>
      <c r="C73" s="43"/>
      <c r="D73" s="43"/>
      <c r="E73" s="57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43"/>
      <c r="B74" s="43"/>
      <c r="C74" s="43"/>
      <c r="D74" s="43"/>
      <c r="E74" s="57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43"/>
      <c r="B75" s="43"/>
      <c r="C75" s="43"/>
      <c r="D75" s="43"/>
      <c r="E75" s="57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43"/>
      <c r="B76" s="43"/>
      <c r="C76" s="43"/>
      <c r="D76" s="43"/>
      <c r="E76" s="57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43"/>
      <c r="B77" s="43"/>
      <c r="C77" s="43"/>
      <c r="D77" s="43"/>
      <c r="E77" s="57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43"/>
      <c r="B78" s="43"/>
      <c r="C78" s="43"/>
      <c r="D78" s="43"/>
      <c r="E78" s="57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43"/>
      <c r="B79" s="43"/>
      <c r="C79" s="43"/>
      <c r="D79" s="43"/>
      <c r="E79" s="57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43"/>
      <c r="B80" s="43"/>
      <c r="C80" s="43"/>
      <c r="D80" s="43"/>
      <c r="E80" s="57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43"/>
      <c r="B81" s="43"/>
      <c r="C81" s="43"/>
      <c r="D81" s="43"/>
      <c r="E81" s="57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43"/>
      <c r="B82" s="43"/>
      <c r="C82" s="43"/>
      <c r="D82" s="43"/>
      <c r="E82" s="57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43"/>
      <c r="B83" s="43"/>
      <c r="C83" s="43"/>
      <c r="D83" s="43"/>
      <c r="E83" s="57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43"/>
      <c r="B84" s="43"/>
      <c r="C84" s="43"/>
      <c r="D84" s="43"/>
      <c r="E84" s="57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43"/>
      <c r="B85" s="43"/>
      <c r="C85" s="43"/>
      <c r="D85" s="43"/>
      <c r="E85" s="57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43"/>
      <c r="B86" s="43"/>
      <c r="C86" s="43"/>
      <c r="D86" s="43"/>
      <c r="E86" s="57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43"/>
      <c r="B87" s="43"/>
      <c r="C87" s="43"/>
      <c r="D87" s="43"/>
      <c r="E87" s="57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43"/>
      <c r="B88" s="43"/>
      <c r="C88" s="43"/>
      <c r="D88" s="43"/>
      <c r="E88" s="57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43"/>
      <c r="B89" s="43"/>
      <c r="C89" s="43"/>
      <c r="D89" s="43"/>
      <c r="E89" s="57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43"/>
      <c r="B90" s="43"/>
      <c r="C90" s="43"/>
      <c r="D90" s="43"/>
      <c r="E90" s="57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43"/>
      <c r="B91" s="43"/>
      <c r="C91" s="43"/>
      <c r="D91" s="43"/>
      <c r="E91" s="57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43"/>
      <c r="B92" s="43"/>
      <c r="C92" s="43"/>
      <c r="D92" s="43"/>
      <c r="E92" s="57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43"/>
      <c r="B93" s="43"/>
      <c r="C93" s="43"/>
      <c r="D93" s="43"/>
      <c r="E93" s="57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43"/>
      <c r="B94" s="43"/>
      <c r="C94" s="43"/>
      <c r="D94" s="43"/>
      <c r="E94" s="57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43"/>
      <c r="B95" s="43"/>
      <c r="C95" s="43"/>
      <c r="D95" s="43"/>
      <c r="E95" s="57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43"/>
      <c r="B96" s="43"/>
      <c r="C96" s="43"/>
      <c r="D96" s="43"/>
      <c r="E96" s="57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43"/>
      <c r="B97" s="43"/>
      <c r="C97" s="43"/>
      <c r="D97" s="43"/>
      <c r="E97" s="57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43"/>
      <c r="B98" s="43"/>
      <c r="C98" s="43"/>
      <c r="D98" s="43"/>
      <c r="E98" s="57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43"/>
      <c r="B99" s="43"/>
      <c r="C99" s="43"/>
      <c r="D99" s="43"/>
      <c r="E99" s="57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43"/>
      <c r="B100" s="43"/>
      <c r="C100" s="43"/>
      <c r="D100" s="43"/>
      <c r="E100" s="57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43"/>
      <c r="B101" s="43"/>
      <c r="C101" s="43"/>
      <c r="D101" s="43"/>
      <c r="E101" s="57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43"/>
      <c r="B102" s="43"/>
      <c r="C102" s="43"/>
      <c r="D102" s="43"/>
      <c r="E102" s="57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43"/>
      <c r="B103" s="43"/>
      <c r="C103" s="43"/>
      <c r="D103" s="43"/>
      <c r="E103" s="57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43"/>
      <c r="B104" s="43"/>
      <c r="C104" s="43"/>
      <c r="D104" s="43"/>
      <c r="E104" s="57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43"/>
      <c r="B105" s="43"/>
      <c r="C105" s="43"/>
      <c r="D105" s="43"/>
      <c r="E105" s="57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43"/>
      <c r="B106" s="43"/>
      <c r="C106" s="43"/>
      <c r="D106" s="43"/>
      <c r="E106" s="57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43"/>
      <c r="B107" s="43"/>
      <c r="C107" s="43"/>
      <c r="D107" s="43"/>
      <c r="E107" s="57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43"/>
      <c r="B108" s="43"/>
      <c r="C108" s="43"/>
      <c r="D108" s="43"/>
      <c r="E108" s="57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43"/>
      <c r="B109" s="43"/>
      <c r="C109" s="43"/>
      <c r="D109" s="43"/>
      <c r="E109" s="57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43"/>
      <c r="B110" s="43"/>
      <c r="C110" s="43"/>
      <c r="D110" s="43"/>
      <c r="E110" s="57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43"/>
      <c r="B111" s="43"/>
      <c r="C111" s="43"/>
      <c r="D111" s="43"/>
      <c r="E111" s="57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43"/>
      <c r="B112" s="43"/>
      <c r="C112" s="43"/>
      <c r="D112" s="43"/>
      <c r="E112" s="57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43"/>
      <c r="B113" s="43"/>
      <c r="C113" s="43"/>
      <c r="D113" s="43"/>
      <c r="E113" s="57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43"/>
      <c r="B114" s="43"/>
      <c r="C114" s="43"/>
      <c r="D114" s="43"/>
      <c r="E114" s="57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43"/>
      <c r="B115" s="43"/>
      <c r="C115" s="43"/>
      <c r="D115" s="43"/>
      <c r="E115" s="57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43"/>
      <c r="B116" s="43"/>
      <c r="C116" s="43"/>
      <c r="D116" s="43"/>
      <c r="E116" s="57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43"/>
      <c r="B117" s="43"/>
      <c r="C117" s="43"/>
      <c r="D117" s="43"/>
      <c r="E117" s="57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43"/>
      <c r="B118" s="43"/>
      <c r="C118" s="43"/>
      <c r="D118" s="43"/>
      <c r="E118" s="57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43"/>
      <c r="B119" s="43"/>
      <c r="C119" s="43"/>
      <c r="D119" s="43"/>
      <c r="E119" s="57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43"/>
      <c r="B120" s="43"/>
      <c r="C120" s="43"/>
      <c r="D120" s="43"/>
      <c r="E120" s="57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43"/>
      <c r="B121" s="43"/>
      <c r="C121" s="43"/>
      <c r="D121" s="43"/>
      <c r="E121" s="57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43"/>
      <c r="B122" s="43"/>
      <c r="C122" s="43"/>
      <c r="D122" s="43"/>
      <c r="E122" s="57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43"/>
      <c r="B123" s="43"/>
      <c r="C123" s="43"/>
      <c r="D123" s="43"/>
      <c r="E123" s="57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43"/>
      <c r="B124" s="43"/>
      <c r="C124" s="43"/>
      <c r="D124" s="43"/>
      <c r="E124" s="57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43"/>
      <c r="B125" s="43"/>
      <c r="C125" s="43"/>
      <c r="D125" s="43"/>
      <c r="E125" s="57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43"/>
      <c r="B126" s="43"/>
      <c r="C126" s="43"/>
      <c r="D126" s="43"/>
      <c r="E126" s="57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43"/>
      <c r="B127" s="43"/>
      <c r="C127" s="43"/>
      <c r="D127" s="43"/>
      <c r="E127" s="57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43"/>
      <c r="B128" s="43"/>
      <c r="C128" s="43"/>
      <c r="D128" s="43"/>
      <c r="E128" s="57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43"/>
      <c r="B129" s="43"/>
      <c r="C129" s="43"/>
      <c r="D129" s="43"/>
      <c r="E129" s="57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43"/>
      <c r="B130" s="43"/>
      <c r="C130" s="43"/>
      <c r="D130" s="43"/>
      <c r="E130" s="57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43"/>
      <c r="B131" s="43"/>
      <c r="C131" s="43"/>
      <c r="D131" s="43"/>
      <c r="E131" s="57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43"/>
      <c r="B132" s="43"/>
      <c r="C132" s="43"/>
      <c r="D132" s="43"/>
      <c r="E132" s="57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43"/>
      <c r="B133" s="43"/>
      <c r="C133" s="43"/>
      <c r="D133" s="43"/>
      <c r="E133" s="57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43"/>
      <c r="B134" s="43"/>
      <c r="C134" s="43"/>
      <c r="D134" s="43"/>
      <c r="E134" s="57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43"/>
      <c r="B135" s="43"/>
      <c r="C135" s="43"/>
      <c r="D135" s="43"/>
      <c r="E135" s="57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43"/>
      <c r="B136" s="43"/>
      <c r="C136" s="43"/>
      <c r="D136" s="43"/>
      <c r="E136" s="57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43"/>
      <c r="B137" s="43"/>
      <c r="C137" s="43"/>
      <c r="D137" s="43"/>
      <c r="E137" s="57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43"/>
      <c r="B138" s="43"/>
      <c r="C138" s="43"/>
      <c r="D138" s="43"/>
      <c r="E138" s="57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43"/>
      <c r="B139" s="43"/>
      <c r="C139" s="43"/>
      <c r="D139" s="43"/>
      <c r="E139" s="57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43"/>
      <c r="B140" s="43"/>
      <c r="C140" s="43"/>
      <c r="D140" s="43"/>
      <c r="E140" s="57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43"/>
      <c r="B141" s="43"/>
      <c r="C141" s="43"/>
      <c r="D141" s="43"/>
      <c r="E141" s="57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43"/>
      <c r="B142" s="43"/>
      <c r="C142" s="43"/>
      <c r="D142" s="43"/>
      <c r="E142" s="57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43"/>
      <c r="B143" s="43"/>
      <c r="C143" s="43"/>
      <c r="D143" s="43"/>
      <c r="E143" s="57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43"/>
      <c r="B144" s="43"/>
      <c r="C144" s="43"/>
      <c r="D144" s="43"/>
      <c r="E144" s="57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43"/>
      <c r="B145" s="43"/>
      <c r="C145" s="43"/>
      <c r="D145" s="43"/>
      <c r="E145" s="57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43"/>
      <c r="B146" s="43"/>
      <c r="C146" s="43"/>
      <c r="D146" s="43"/>
      <c r="E146" s="57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43"/>
      <c r="B147" s="43"/>
      <c r="C147" s="43"/>
      <c r="D147" s="43"/>
      <c r="E147" s="57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43"/>
      <c r="B148" s="43"/>
      <c r="C148" s="43"/>
      <c r="D148" s="43"/>
      <c r="E148" s="57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43"/>
      <c r="B149" s="43"/>
      <c r="C149" s="43"/>
      <c r="D149" s="43"/>
      <c r="E149" s="57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43"/>
      <c r="B150" s="43"/>
      <c r="C150" s="43"/>
      <c r="D150" s="43"/>
      <c r="E150" s="57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43"/>
      <c r="B151" s="43"/>
      <c r="C151" s="43"/>
      <c r="D151" s="43"/>
      <c r="E151" s="57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43"/>
      <c r="B152" s="43"/>
      <c r="C152" s="43"/>
      <c r="D152" s="43"/>
      <c r="E152" s="57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43"/>
      <c r="B153" s="43"/>
      <c r="C153" s="43"/>
      <c r="D153" s="43"/>
      <c r="E153" s="57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43"/>
      <c r="B154" s="43"/>
      <c r="C154" s="43"/>
      <c r="D154" s="43"/>
      <c r="E154" s="57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43"/>
      <c r="B155" s="43"/>
      <c r="C155" s="43"/>
      <c r="D155" s="43"/>
      <c r="E155" s="57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43"/>
      <c r="B156" s="43"/>
      <c r="C156" s="43"/>
      <c r="D156" s="43"/>
      <c r="E156" s="57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43"/>
      <c r="B157" s="43"/>
      <c r="C157" s="43"/>
      <c r="D157" s="43"/>
      <c r="E157" s="57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43"/>
      <c r="B158" s="43"/>
      <c r="C158" s="43"/>
      <c r="D158" s="43"/>
      <c r="E158" s="57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43"/>
      <c r="B159" s="43"/>
      <c r="C159" s="43"/>
      <c r="D159" s="43"/>
      <c r="E159" s="57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43"/>
      <c r="B160" s="43"/>
      <c r="C160" s="43"/>
      <c r="D160" s="43"/>
      <c r="E160" s="57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43"/>
      <c r="B161" s="43"/>
      <c r="C161" s="43"/>
      <c r="D161" s="43"/>
      <c r="E161" s="57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43"/>
      <c r="B162" s="43"/>
      <c r="C162" s="43"/>
      <c r="D162" s="43"/>
      <c r="E162" s="57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43"/>
      <c r="B163" s="43"/>
      <c r="C163" s="43"/>
      <c r="D163" s="43"/>
      <c r="E163" s="57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43"/>
      <c r="B164" s="43"/>
      <c r="C164" s="43"/>
      <c r="D164" s="43"/>
      <c r="E164" s="57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43"/>
      <c r="B165" s="43"/>
      <c r="C165" s="43"/>
      <c r="D165" s="43"/>
      <c r="E165" s="57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43"/>
      <c r="B166" s="43"/>
      <c r="C166" s="43"/>
      <c r="D166" s="43"/>
      <c r="E166" s="57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43"/>
      <c r="B167" s="43"/>
      <c r="C167" s="43"/>
      <c r="D167" s="43"/>
      <c r="E167" s="57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43"/>
      <c r="B168" s="43"/>
      <c r="C168" s="43"/>
      <c r="D168" s="43"/>
      <c r="E168" s="57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43"/>
      <c r="B169" s="43"/>
      <c r="C169" s="43"/>
      <c r="D169" s="43"/>
      <c r="E169" s="57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43"/>
      <c r="B170" s="43"/>
      <c r="C170" s="43"/>
      <c r="D170" s="43"/>
      <c r="E170" s="57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43"/>
      <c r="B171" s="43"/>
      <c r="C171" s="43"/>
      <c r="D171" s="43"/>
      <c r="E171" s="57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43"/>
      <c r="B172" s="43"/>
      <c r="C172" s="43"/>
      <c r="D172" s="43"/>
      <c r="E172" s="57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43"/>
      <c r="B173" s="43"/>
      <c r="C173" s="43"/>
      <c r="D173" s="43"/>
      <c r="E173" s="57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43"/>
      <c r="B174" s="43"/>
      <c r="C174" s="43"/>
      <c r="D174" s="43"/>
      <c r="E174" s="57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43"/>
      <c r="B175" s="43"/>
      <c r="C175" s="43"/>
      <c r="D175" s="43"/>
      <c r="E175" s="57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43"/>
      <c r="B176" s="43"/>
      <c r="C176" s="43"/>
      <c r="D176" s="43"/>
      <c r="E176" s="57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43"/>
      <c r="B177" s="43"/>
      <c r="C177" s="43"/>
      <c r="D177" s="43"/>
      <c r="E177" s="57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43"/>
      <c r="B178" s="43"/>
      <c r="C178" s="43"/>
      <c r="D178" s="43"/>
      <c r="E178" s="57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43"/>
      <c r="B179" s="43"/>
      <c r="C179" s="43"/>
      <c r="D179" s="43"/>
      <c r="E179" s="57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43"/>
      <c r="B180" s="43"/>
      <c r="C180" s="43"/>
      <c r="D180" s="43"/>
      <c r="E180" s="57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43"/>
      <c r="B181" s="43"/>
      <c r="C181" s="43"/>
      <c r="D181" s="43"/>
      <c r="E181" s="57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43"/>
      <c r="B182" s="43"/>
      <c r="C182" s="43"/>
      <c r="D182" s="43"/>
      <c r="E182" s="57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43"/>
      <c r="B183" s="43"/>
      <c r="C183" s="43"/>
      <c r="D183" s="43"/>
      <c r="E183" s="57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43"/>
      <c r="B184" s="43"/>
      <c r="C184" s="43"/>
      <c r="D184" s="43"/>
      <c r="E184" s="57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43"/>
      <c r="B185" s="43"/>
      <c r="C185" s="43"/>
      <c r="D185" s="43"/>
      <c r="E185" s="57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43"/>
      <c r="B186" s="43"/>
      <c r="C186" s="43"/>
      <c r="D186" s="43"/>
      <c r="E186" s="57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43"/>
      <c r="B187" s="43"/>
      <c r="C187" s="43"/>
      <c r="D187" s="43"/>
      <c r="E187" s="57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43"/>
      <c r="B188" s="43"/>
      <c r="C188" s="43"/>
      <c r="D188" s="43"/>
      <c r="E188" s="57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43"/>
      <c r="B189" s="43"/>
      <c r="C189" s="43"/>
      <c r="D189" s="43"/>
      <c r="E189" s="57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43"/>
      <c r="B190" s="43"/>
      <c r="C190" s="43"/>
      <c r="D190" s="43"/>
      <c r="E190" s="57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43"/>
      <c r="B191" s="43"/>
      <c r="C191" s="43"/>
      <c r="D191" s="43"/>
      <c r="E191" s="57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43"/>
      <c r="B192" s="43"/>
      <c r="C192" s="43"/>
      <c r="D192" s="43"/>
      <c r="E192" s="57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43"/>
      <c r="B193" s="43"/>
      <c r="C193" s="43"/>
      <c r="D193" s="43"/>
      <c r="E193" s="57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43"/>
      <c r="B194" s="43"/>
      <c r="C194" s="43"/>
      <c r="D194" s="43"/>
      <c r="E194" s="57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43"/>
      <c r="B195" s="43"/>
      <c r="C195" s="43"/>
      <c r="D195" s="43"/>
      <c r="E195" s="57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43"/>
      <c r="B196" s="43"/>
      <c r="C196" s="43"/>
      <c r="D196" s="43"/>
      <c r="E196" s="57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43"/>
      <c r="B197" s="43"/>
      <c r="C197" s="43"/>
      <c r="D197" s="43"/>
      <c r="E197" s="57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43"/>
      <c r="B198" s="43"/>
      <c r="C198" s="43"/>
      <c r="D198" s="43"/>
      <c r="E198" s="57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43"/>
      <c r="B199" s="43"/>
      <c r="C199" s="43"/>
      <c r="D199" s="43"/>
      <c r="E199" s="57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43"/>
      <c r="B200" s="43"/>
      <c r="C200" s="43"/>
      <c r="D200" s="43"/>
      <c r="E200" s="57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43"/>
      <c r="B201" s="43"/>
      <c r="C201" s="43"/>
      <c r="D201" s="43"/>
      <c r="E201" s="57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43"/>
      <c r="B202" s="43"/>
      <c r="C202" s="43"/>
      <c r="D202" s="43"/>
      <c r="E202" s="57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43"/>
      <c r="B203" s="43"/>
      <c r="C203" s="43"/>
      <c r="D203" s="43"/>
      <c r="E203" s="57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43"/>
      <c r="B204" s="43"/>
      <c r="C204" s="43"/>
      <c r="D204" s="43"/>
      <c r="E204" s="57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43"/>
      <c r="B205" s="43"/>
      <c r="C205" s="43"/>
      <c r="D205" s="43"/>
      <c r="E205" s="57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43"/>
      <c r="B206" s="43"/>
      <c r="C206" s="43"/>
      <c r="D206" s="43"/>
      <c r="E206" s="57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43"/>
      <c r="B207" s="43"/>
      <c r="C207" s="43"/>
      <c r="D207" s="43"/>
      <c r="E207" s="57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43"/>
      <c r="B208" s="43"/>
      <c r="C208" s="43"/>
      <c r="D208" s="43"/>
      <c r="E208" s="57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43"/>
      <c r="B209" s="43"/>
      <c r="C209" s="43"/>
      <c r="D209" s="43"/>
      <c r="E209" s="57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43"/>
      <c r="B210" s="43"/>
      <c r="C210" s="43"/>
      <c r="D210" s="43"/>
      <c r="E210" s="57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43"/>
      <c r="B211" s="43"/>
      <c r="C211" s="43"/>
      <c r="D211" s="43"/>
      <c r="E211" s="57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43"/>
      <c r="B212" s="43"/>
      <c r="C212" s="43"/>
      <c r="D212" s="43"/>
      <c r="E212" s="57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43"/>
      <c r="B213" s="43"/>
      <c r="C213" s="43"/>
      <c r="D213" s="43"/>
      <c r="E213" s="57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43"/>
      <c r="B214" s="43"/>
      <c r="C214" s="43"/>
      <c r="D214" s="43"/>
      <c r="E214" s="57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43"/>
      <c r="B215" s="43"/>
      <c r="C215" s="43"/>
      <c r="D215" s="43"/>
      <c r="E215" s="57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43"/>
      <c r="B216" s="43"/>
      <c r="C216" s="43"/>
      <c r="D216" s="43"/>
      <c r="E216" s="57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43"/>
      <c r="B217" s="43"/>
      <c r="C217" s="43"/>
      <c r="D217" s="43"/>
      <c r="E217" s="57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43"/>
      <c r="B218" s="43"/>
      <c r="C218" s="43"/>
      <c r="D218" s="43"/>
      <c r="E218" s="57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43"/>
      <c r="B219" s="43"/>
      <c r="C219" s="43"/>
      <c r="D219" s="43"/>
      <c r="E219" s="57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43"/>
      <c r="B220" s="43"/>
      <c r="C220" s="43"/>
      <c r="D220" s="43"/>
      <c r="E220" s="57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43"/>
      <c r="B221" s="43"/>
      <c r="C221" s="43"/>
      <c r="D221" s="43"/>
      <c r="E221" s="57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43"/>
      <c r="B222" s="43"/>
      <c r="C222" s="43"/>
      <c r="D222" s="43"/>
      <c r="E222" s="57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43"/>
      <c r="B223" s="43"/>
      <c r="C223" s="43"/>
      <c r="D223" s="43"/>
      <c r="E223" s="57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43"/>
      <c r="B224" s="43"/>
      <c r="C224" s="43"/>
      <c r="D224" s="43"/>
      <c r="E224" s="57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43"/>
      <c r="B225" s="43"/>
      <c r="C225" s="43"/>
      <c r="D225" s="43"/>
      <c r="E225" s="57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43"/>
      <c r="B226" s="43"/>
      <c r="C226" s="43"/>
      <c r="D226" s="43"/>
      <c r="E226" s="57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43"/>
      <c r="B227" s="43"/>
      <c r="C227" s="43"/>
      <c r="D227" s="43"/>
      <c r="E227" s="57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43"/>
      <c r="B228" s="43"/>
      <c r="C228" s="43"/>
      <c r="D228" s="43"/>
      <c r="E228" s="57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43"/>
      <c r="B229" s="43"/>
      <c r="C229" s="43"/>
      <c r="D229" s="43"/>
      <c r="E229" s="57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43"/>
      <c r="B230" s="43"/>
      <c r="C230" s="43"/>
      <c r="D230" s="43"/>
      <c r="E230" s="57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43"/>
      <c r="B231" s="43"/>
      <c r="C231" s="43"/>
      <c r="D231" s="43"/>
      <c r="E231" s="57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43"/>
      <c r="B232" s="43"/>
      <c r="C232" s="43"/>
      <c r="D232" s="43"/>
      <c r="E232" s="57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43"/>
      <c r="B233" s="43"/>
      <c r="C233" s="43"/>
      <c r="D233" s="43"/>
      <c r="E233" s="57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43"/>
      <c r="B234" s="43"/>
      <c r="C234" s="43"/>
      <c r="D234" s="43"/>
      <c r="E234" s="57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43"/>
      <c r="B235" s="43"/>
      <c r="C235" s="43"/>
      <c r="D235" s="43"/>
      <c r="E235" s="57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43"/>
      <c r="B236" s="43"/>
      <c r="C236" s="43"/>
      <c r="D236" s="43"/>
      <c r="E236" s="57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43"/>
      <c r="B237" s="43"/>
      <c r="C237" s="43"/>
      <c r="D237" s="43"/>
      <c r="E237" s="57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43"/>
      <c r="B238" s="43"/>
      <c r="C238" s="43"/>
      <c r="D238" s="43"/>
      <c r="E238" s="57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43"/>
      <c r="B239" s="43"/>
      <c r="C239" s="43"/>
      <c r="D239" s="43"/>
      <c r="E239" s="57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43"/>
      <c r="B240" s="43"/>
      <c r="C240" s="43"/>
      <c r="D240" s="43"/>
      <c r="E240" s="57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43"/>
      <c r="B241" s="43"/>
      <c r="C241" s="43"/>
      <c r="D241" s="43"/>
      <c r="E241" s="57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43"/>
      <c r="B242" s="43"/>
      <c r="C242" s="43"/>
      <c r="D242" s="43"/>
      <c r="E242" s="57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43"/>
      <c r="B243" s="43"/>
      <c r="C243" s="43"/>
      <c r="D243" s="43"/>
      <c r="E243" s="57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43"/>
      <c r="B244" s="43"/>
      <c r="C244" s="43"/>
      <c r="D244" s="43"/>
      <c r="E244" s="57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43"/>
      <c r="B245" s="43"/>
      <c r="C245" s="43"/>
      <c r="D245" s="43"/>
      <c r="E245" s="57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43"/>
      <c r="B246" s="43"/>
      <c r="C246" s="43"/>
      <c r="D246" s="43"/>
      <c r="E246" s="57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43"/>
      <c r="B247" s="43"/>
      <c r="C247" s="43"/>
      <c r="D247" s="43"/>
      <c r="E247" s="57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43"/>
      <c r="B248" s="43"/>
      <c r="C248" s="43"/>
      <c r="D248" s="43"/>
      <c r="E248" s="57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43"/>
      <c r="B249" s="43"/>
      <c r="C249" s="43"/>
      <c r="D249" s="43"/>
      <c r="E249" s="57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43"/>
      <c r="B250" s="43"/>
      <c r="C250" s="43"/>
      <c r="D250" s="43"/>
      <c r="E250" s="57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>
      <c r="A251" s="54"/>
      <c r="B251" s="54"/>
      <c r="C251" s="54"/>
      <c r="D251" s="54"/>
      <c r="E251" s="58"/>
    </row>
    <row r="252" spans="1:56">
      <c r="A252" s="54"/>
      <c r="B252" s="54"/>
      <c r="C252" s="54"/>
      <c r="D252" s="54"/>
      <c r="E252" s="58"/>
    </row>
    <row r="253" spans="1:56">
      <c r="A253" s="54"/>
      <c r="B253" s="54"/>
      <c r="C253" s="54"/>
      <c r="D253" s="54"/>
      <c r="E253" s="58"/>
    </row>
    <row r="254" spans="1:56">
      <c r="A254" s="54"/>
      <c r="B254" s="54"/>
      <c r="C254" s="54"/>
      <c r="D254" s="54"/>
      <c r="E254" s="58"/>
    </row>
    <row r="255" spans="1:56">
      <c r="A255" s="54"/>
      <c r="B255" s="54"/>
      <c r="C255" s="54"/>
      <c r="D255" s="54"/>
      <c r="E255" s="58"/>
    </row>
    <row r="256" spans="1:56">
      <c r="A256" s="54"/>
      <c r="B256" s="54"/>
      <c r="C256" s="54"/>
      <c r="D256" s="54"/>
      <c r="E256" s="58"/>
    </row>
    <row r="257" spans="1:5">
      <c r="A257" s="54"/>
      <c r="B257" s="54"/>
      <c r="C257" s="54"/>
      <c r="D257" s="54"/>
      <c r="E257" s="58"/>
    </row>
    <row r="258" spans="1:5">
      <c r="A258" s="54"/>
      <c r="B258" s="54"/>
      <c r="C258" s="54"/>
      <c r="D258" s="54"/>
      <c r="E258" s="58"/>
    </row>
    <row r="259" spans="1:5">
      <c r="A259" s="54"/>
      <c r="B259" s="54"/>
      <c r="C259" s="54"/>
      <c r="D259" s="54"/>
      <c r="E259" s="58"/>
    </row>
    <row r="260" spans="1:5">
      <c r="A260" s="54"/>
      <c r="B260" s="54"/>
      <c r="C260" s="54"/>
      <c r="D260" s="54"/>
      <c r="E260" s="58"/>
    </row>
    <row r="261" spans="1:5">
      <c r="A261" s="54"/>
      <c r="B261" s="54"/>
      <c r="C261" s="54"/>
      <c r="D261" s="54"/>
      <c r="E261" s="58"/>
    </row>
    <row r="262" spans="1:5">
      <c r="A262" s="54"/>
      <c r="B262" s="54"/>
      <c r="C262" s="54"/>
      <c r="D262" s="54"/>
      <c r="E262" s="58"/>
    </row>
    <row r="263" spans="1:5">
      <c r="A263" s="54"/>
      <c r="B263" s="54"/>
      <c r="C263" s="54"/>
      <c r="D263" s="54"/>
      <c r="E263" s="58"/>
    </row>
    <row r="264" spans="1:5">
      <c r="A264" s="54"/>
      <c r="B264" s="54"/>
      <c r="C264" s="54"/>
      <c r="D264" s="54"/>
      <c r="E264" s="58"/>
    </row>
    <row r="265" spans="1:5">
      <c r="A265" s="54"/>
      <c r="B265" s="54"/>
      <c r="C265" s="54"/>
      <c r="D265" s="54"/>
      <c r="E265" s="58"/>
    </row>
    <row r="266" spans="1:5">
      <c r="A266" s="54"/>
      <c r="B266" s="54"/>
      <c r="C266" s="54"/>
      <c r="D266" s="54"/>
      <c r="E266" s="58"/>
    </row>
    <row r="267" spans="1:5">
      <c r="A267" s="54"/>
      <c r="B267" s="54"/>
      <c r="C267" s="54"/>
      <c r="D267" s="54"/>
      <c r="E267" s="58"/>
    </row>
    <row r="268" spans="1:5">
      <c r="A268" s="54"/>
      <c r="B268" s="54"/>
      <c r="C268" s="54"/>
      <c r="D268" s="54"/>
      <c r="E268" s="58"/>
    </row>
    <row r="269" spans="1:5">
      <c r="A269" s="54"/>
      <c r="B269" s="54"/>
      <c r="C269" s="54"/>
      <c r="D269" s="54"/>
      <c r="E269" s="58"/>
    </row>
    <row r="270" spans="1:5">
      <c r="A270" s="54"/>
      <c r="B270" s="54"/>
      <c r="C270" s="54"/>
      <c r="D270" s="54"/>
      <c r="E270" s="58"/>
    </row>
    <row r="271" spans="1:5">
      <c r="A271" s="54"/>
      <c r="B271" s="54"/>
      <c r="C271" s="54"/>
      <c r="D271" s="54"/>
      <c r="E271" s="58"/>
    </row>
    <row r="272" spans="1:5">
      <c r="A272" s="54"/>
      <c r="B272" s="54"/>
      <c r="C272" s="54"/>
      <c r="D272" s="54"/>
      <c r="E272" s="58"/>
    </row>
    <row r="273" spans="1:5">
      <c r="A273" s="54"/>
      <c r="B273" s="54"/>
      <c r="C273" s="54"/>
      <c r="D273" s="54"/>
      <c r="E273" s="58"/>
    </row>
    <row r="274" spans="1:5">
      <c r="A274" s="54"/>
      <c r="B274" s="54"/>
      <c r="C274" s="54"/>
      <c r="D274" s="54"/>
      <c r="E274" s="58"/>
    </row>
    <row r="275" spans="1:5">
      <c r="A275" s="54"/>
      <c r="B275" s="54"/>
      <c r="C275" s="54"/>
      <c r="D275" s="54"/>
      <c r="E275" s="58"/>
    </row>
    <row r="276" spans="1:5">
      <c r="A276" s="54"/>
      <c r="B276" s="54"/>
      <c r="C276" s="54"/>
      <c r="D276" s="54"/>
      <c r="E276" s="58"/>
    </row>
    <row r="277" spans="1:5">
      <c r="A277" s="54"/>
      <c r="B277" s="54"/>
      <c r="C277" s="54"/>
      <c r="D277" s="54"/>
      <c r="E277" s="58"/>
    </row>
    <row r="278" spans="1:5">
      <c r="A278" s="54"/>
      <c r="B278" s="54"/>
      <c r="C278" s="54"/>
      <c r="D278" s="54"/>
      <c r="E278" s="58"/>
    </row>
    <row r="279" spans="1:5">
      <c r="A279" s="54"/>
      <c r="B279" s="54"/>
      <c r="C279" s="54"/>
      <c r="D279" s="54"/>
      <c r="E279" s="58"/>
    </row>
    <row r="280" spans="1:5">
      <c r="A280" s="54"/>
      <c r="B280" s="54"/>
      <c r="C280" s="54"/>
      <c r="D280" s="54"/>
      <c r="E280" s="58"/>
    </row>
    <row r="281" spans="1:5">
      <c r="A281" s="54"/>
      <c r="B281" s="54"/>
      <c r="C281" s="54"/>
      <c r="D281" s="54"/>
      <c r="E281" s="58"/>
    </row>
    <row r="282" spans="1:5">
      <c r="A282" s="54"/>
      <c r="B282" s="54"/>
      <c r="C282" s="54"/>
      <c r="D282" s="54"/>
      <c r="E282" s="58"/>
    </row>
    <row r="283" spans="1:5">
      <c r="A283" s="54"/>
      <c r="B283" s="54"/>
      <c r="C283" s="54"/>
      <c r="D283" s="54"/>
      <c r="E283" s="58"/>
    </row>
    <row r="284" spans="1:5">
      <c r="A284" s="54"/>
      <c r="B284" s="54"/>
      <c r="C284" s="54"/>
      <c r="D284" s="54"/>
      <c r="E284" s="58"/>
    </row>
    <row r="285" spans="1:5">
      <c r="A285" s="54"/>
      <c r="B285" s="54"/>
      <c r="C285" s="54"/>
      <c r="D285" s="54"/>
      <c r="E285" s="58"/>
    </row>
    <row r="286" spans="1:5">
      <c r="A286" s="54"/>
      <c r="B286" s="54"/>
      <c r="C286" s="54"/>
      <c r="D286" s="54"/>
      <c r="E286" s="58"/>
    </row>
    <row r="287" spans="1:5">
      <c r="A287" s="54"/>
      <c r="B287" s="54"/>
      <c r="C287" s="54"/>
      <c r="D287" s="54"/>
      <c r="E287" s="58"/>
    </row>
    <row r="288" spans="1:5">
      <c r="A288" s="54"/>
      <c r="B288" s="54"/>
      <c r="C288" s="54"/>
      <c r="D288" s="54"/>
      <c r="E288" s="58"/>
    </row>
    <row r="289" spans="1:5">
      <c r="A289" s="54"/>
      <c r="B289" s="54"/>
      <c r="C289" s="54"/>
      <c r="D289" s="54"/>
      <c r="E289" s="58"/>
    </row>
    <row r="290" spans="1:5">
      <c r="A290" s="54"/>
      <c r="B290" s="54"/>
      <c r="C290" s="54"/>
      <c r="D290" s="54"/>
      <c r="E290" s="58"/>
    </row>
    <row r="291" spans="1:5">
      <c r="A291" s="54"/>
      <c r="B291" s="54"/>
      <c r="C291" s="54"/>
      <c r="D291" s="54"/>
      <c r="E291" s="58"/>
    </row>
    <row r="292" spans="1:5">
      <c r="A292" s="54"/>
      <c r="B292" s="54"/>
      <c r="C292" s="54"/>
      <c r="D292" s="54"/>
      <c r="E292" s="58"/>
    </row>
    <row r="293" spans="1:5">
      <c r="A293" s="54"/>
      <c r="B293" s="54"/>
      <c r="C293" s="54"/>
      <c r="D293" s="54"/>
      <c r="E293" s="58"/>
    </row>
    <row r="294" spans="1:5">
      <c r="A294" s="54"/>
      <c r="B294" s="54"/>
      <c r="C294" s="54"/>
      <c r="D294" s="54"/>
      <c r="E294" s="58"/>
    </row>
    <row r="295" spans="1:5">
      <c r="A295" s="54"/>
      <c r="B295" s="54"/>
      <c r="C295" s="54"/>
      <c r="D295" s="54"/>
      <c r="E295" s="58"/>
    </row>
    <row r="296" spans="1:5">
      <c r="A296" s="54"/>
      <c r="B296" s="54"/>
      <c r="C296" s="54"/>
      <c r="D296" s="54"/>
      <c r="E296" s="58"/>
    </row>
    <row r="297" spans="1:5">
      <c r="A297" s="54"/>
      <c r="B297" s="54"/>
      <c r="C297" s="54"/>
      <c r="D297" s="54"/>
      <c r="E297" s="58"/>
    </row>
    <row r="298" spans="1:5">
      <c r="A298" s="54"/>
      <c r="B298" s="54"/>
      <c r="C298" s="54"/>
      <c r="D298" s="54"/>
      <c r="E298" s="58"/>
    </row>
    <row r="299" spans="1:5">
      <c r="A299" s="54"/>
      <c r="B299" s="54"/>
      <c r="C299" s="54"/>
      <c r="D299" s="54"/>
      <c r="E299" s="58"/>
    </row>
    <row r="300" spans="1:5">
      <c r="A300" s="54"/>
      <c r="B300" s="54"/>
      <c r="C300" s="54"/>
      <c r="D300" s="54"/>
      <c r="E300" s="58"/>
    </row>
    <row r="301" spans="1:5">
      <c r="A301" s="54"/>
      <c r="B301" s="54"/>
      <c r="C301" s="54"/>
      <c r="D301" s="54"/>
      <c r="E301" s="58"/>
    </row>
    <row r="302" spans="1:5">
      <c r="A302" s="54"/>
      <c r="B302" s="54"/>
      <c r="C302" s="54"/>
      <c r="D302" s="54"/>
      <c r="E302" s="58"/>
    </row>
    <row r="303" spans="1:5">
      <c r="A303" s="54"/>
      <c r="B303" s="54"/>
      <c r="C303" s="54"/>
      <c r="D303" s="54"/>
      <c r="E303" s="58"/>
    </row>
    <row r="304" spans="1:5">
      <c r="A304" s="54"/>
      <c r="B304" s="54"/>
      <c r="C304" s="54"/>
      <c r="D304" s="54"/>
      <c r="E304" s="58"/>
    </row>
    <row r="305" spans="1:5">
      <c r="A305" s="54"/>
      <c r="B305" s="54"/>
      <c r="C305" s="54"/>
      <c r="D305" s="54"/>
      <c r="E305" s="58"/>
    </row>
    <row r="306" spans="1:5">
      <c r="A306" s="54"/>
      <c r="B306" s="54"/>
      <c r="C306" s="54"/>
      <c r="D306" s="54"/>
      <c r="E306" s="58"/>
    </row>
    <row r="307" spans="1:5">
      <c r="A307" s="54"/>
      <c r="B307" s="54"/>
      <c r="C307" s="54"/>
      <c r="D307" s="54"/>
      <c r="E307" s="58"/>
    </row>
    <row r="308" spans="1:5">
      <c r="A308" s="54"/>
      <c r="B308" s="54"/>
      <c r="C308" s="54"/>
      <c r="D308" s="54"/>
      <c r="E308" s="58"/>
    </row>
    <row r="309" spans="1:5">
      <c r="A309" s="54"/>
      <c r="B309" s="54"/>
      <c r="C309" s="54"/>
      <c r="D309" s="54"/>
      <c r="E309" s="58"/>
    </row>
    <row r="310" spans="1:5">
      <c r="A310" s="54"/>
      <c r="B310" s="54"/>
      <c r="C310" s="54"/>
      <c r="D310" s="54"/>
      <c r="E310" s="58"/>
    </row>
    <row r="311" spans="1:5">
      <c r="A311" s="54"/>
      <c r="B311" s="54"/>
      <c r="C311" s="54"/>
      <c r="D311" s="54"/>
      <c r="E311" s="58"/>
    </row>
    <row r="312" spans="1:5">
      <c r="A312" s="54"/>
      <c r="B312" s="54"/>
      <c r="C312" s="54"/>
      <c r="D312" s="54"/>
      <c r="E312" s="58"/>
    </row>
    <row r="313" spans="1:5">
      <c r="A313" s="54"/>
      <c r="B313" s="54"/>
      <c r="C313" s="54"/>
      <c r="D313" s="54"/>
      <c r="E313" s="58"/>
    </row>
    <row r="314" spans="1:5">
      <c r="A314" s="54"/>
      <c r="B314" s="54"/>
      <c r="C314" s="54"/>
      <c r="D314" s="54"/>
      <c r="E314" s="58"/>
    </row>
    <row r="315" spans="1:5">
      <c r="A315" s="54"/>
      <c r="B315" s="54"/>
      <c r="C315" s="54"/>
      <c r="D315" s="54"/>
      <c r="E315" s="58"/>
    </row>
    <row r="316" spans="1:5">
      <c r="A316" s="54"/>
      <c r="B316" s="54"/>
      <c r="C316" s="54"/>
      <c r="D316" s="54"/>
      <c r="E316" s="58"/>
    </row>
    <row r="317" spans="1:5">
      <c r="A317" s="54"/>
      <c r="B317" s="54"/>
      <c r="C317" s="54"/>
      <c r="D317" s="54"/>
      <c r="E317" s="58"/>
    </row>
    <row r="318" spans="1:5">
      <c r="A318" s="54"/>
      <c r="B318" s="54"/>
      <c r="C318" s="54"/>
      <c r="D318" s="54"/>
      <c r="E318" s="58"/>
    </row>
    <row r="319" spans="1:5">
      <c r="A319" s="54"/>
      <c r="B319" s="54"/>
      <c r="C319" s="54"/>
      <c r="D319" s="54"/>
      <c r="E319" s="58"/>
    </row>
    <row r="320" spans="1:5">
      <c r="A320" s="54"/>
      <c r="B320" s="54"/>
      <c r="C320" s="54"/>
      <c r="D320" s="54"/>
      <c r="E320" s="58"/>
    </row>
    <row r="321" spans="1:5">
      <c r="A321" s="54"/>
      <c r="B321" s="54"/>
      <c r="C321" s="54"/>
      <c r="D321" s="54"/>
      <c r="E321" s="58"/>
    </row>
    <row r="322" spans="1:5">
      <c r="A322" s="54"/>
      <c r="B322" s="54"/>
      <c r="C322" s="54"/>
      <c r="D322" s="54"/>
      <c r="E322" s="58"/>
    </row>
    <row r="323" spans="1:5">
      <c r="A323" s="54"/>
      <c r="B323" s="54"/>
      <c r="C323" s="54"/>
      <c r="D323" s="54"/>
      <c r="E323" s="58"/>
    </row>
    <row r="324" spans="1:5">
      <c r="A324" s="54"/>
      <c r="B324" s="54"/>
      <c r="C324" s="54"/>
      <c r="D324" s="54"/>
      <c r="E324" s="58"/>
    </row>
    <row r="325" spans="1:5">
      <c r="A325" s="54"/>
      <c r="B325" s="54"/>
      <c r="C325" s="54"/>
      <c r="D325" s="54"/>
      <c r="E325" s="58"/>
    </row>
    <row r="326" spans="1:5">
      <c r="A326" s="54"/>
      <c r="B326" s="54"/>
      <c r="C326" s="54"/>
      <c r="D326" s="54"/>
      <c r="E326" s="58"/>
    </row>
    <row r="327" spans="1:5">
      <c r="A327" s="54"/>
      <c r="B327" s="54"/>
      <c r="C327" s="54"/>
      <c r="D327" s="54"/>
      <c r="E327" s="58"/>
    </row>
    <row r="328" spans="1:5">
      <c r="A328" s="54"/>
      <c r="B328" s="54"/>
      <c r="C328" s="54"/>
      <c r="D328" s="54"/>
      <c r="E328" s="58"/>
    </row>
    <row r="329" spans="1:5">
      <c r="A329" s="54"/>
      <c r="B329" s="54"/>
      <c r="C329" s="54"/>
      <c r="D329" s="54"/>
      <c r="E329" s="58"/>
    </row>
    <row r="330" spans="1:5">
      <c r="A330" s="54"/>
      <c r="B330" s="54"/>
      <c r="C330" s="54"/>
      <c r="D330" s="54"/>
      <c r="E330" s="58"/>
    </row>
    <row r="331" spans="1:5">
      <c r="A331" s="54"/>
      <c r="B331" s="54"/>
      <c r="C331" s="54"/>
      <c r="D331" s="54"/>
      <c r="E331" s="58"/>
    </row>
    <row r="332" spans="1:5">
      <c r="A332" s="54"/>
      <c r="B332" s="54"/>
      <c r="C332" s="54"/>
      <c r="D332" s="54"/>
      <c r="E332" s="58"/>
    </row>
    <row r="333" spans="1:5">
      <c r="A333" s="54"/>
      <c r="B333" s="54"/>
      <c r="C333" s="54"/>
      <c r="D333" s="54"/>
      <c r="E333" s="58"/>
    </row>
    <row r="334" spans="1:5">
      <c r="A334" s="54"/>
      <c r="B334" s="54"/>
      <c r="C334" s="54"/>
      <c r="D334" s="54"/>
      <c r="E334" s="58"/>
    </row>
    <row r="335" spans="1:5">
      <c r="A335" s="54"/>
      <c r="B335" s="54"/>
      <c r="C335" s="54"/>
      <c r="D335" s="54"/>
      <c r="E335" s="58"/>
    </row>
    <row r="336" spans="1:5">
      <c r="A336" s="54"/>
      <c r="B336" s="54"/>
      <c r="C336" s="54"/>
      <c r="D336" s="54"/>
      <c r="E336" s="58"/>
    </row>
    <row r="337" spans="1:5">
      <c r="A337" s="54"/>
      <c r="B337" s="54"/>
      <c r="C337" s="54"/>
      <c r="D337" s="54"/>
      <c r="E337" s="58"/>
    </row>
    <row r="338" spans="1:5">
      <c r="A338" s="54"/>
      <c r="B338" s="54"/>
      <c r="C338" s="54"/>
      <c r="D338" s="54"/>
      <c r="E338" s="58"/>
    </row>
    <row r="339" spans="1:5">
      <c r="A339" s="54"/>
      <c r="B339" s="54"/>
      <c r="C339" s="54"/>
      <c r="D339" s="54"/>
      <c r="E339" s="58"/>
    </row>
    <row r="340" spans="1:5">
      <c r="A340" s="54"/>
      <c r="B340" s="54"/>
      <c r="C340" s="54"/>
      <c r="D340" s="54"/>
      <c r="E340" s="58"/>
    </row>
    <row r="341" spans="1:5">
      <c r="A341" s="54"/>
      <c r="B341" s="54"/>
      <c r="C341" s="54"/>
      <c r="D341" s="54"/>
      <c r="E341" s="58"/>
    </row>
    <row r="342" spans="1:5">
      <c r="A342" s="54"/>
      <c r="B342" s="54"/>
      <c r="C342" s="54"/>
      <c r="D342" s="54"/>
      <c r="E342" s="58"/>
    </row>
    <row r="343" spans="1:5">
      <c r="A343" s="54"/>
      <c r="B343" s="54"/>
      <c r="C343" s="54"/>
      <c r="D343" s="54"/>
      <c r="E343" s="58"/>
    </row>
    <row r="344" spans="1:5">
      <c r="A344" s="54"/>
      <c r="B344" s="54"/>
      <c r="C344" s="54"/>
      <c r="D344" s="54"/>
      <c r="E344" s="58"/>
    </row>
    <row r="345" spans="1:5">
      <c r="A345" s="54"/>
      <c r="B345" s="54"/>
      <c r="C345" s="54"/>
      <c r="D345" s="54"/>
      <c r="E345" s="58"/>
    </row>
    <row r="346" spans="1:5">
      <c r="A346" s="54"/>
      <c r="B346" s="54"/>
      <c r="C346" s="54"/>
      <c r="D346" s="54"/>
      <c r="E346" s="58"/>
    </row>
    <row r="347" spans="1:5">
      <c r="A347" s="54"/>
      <c r="B347" s="54"/>
      <c r="C347" s="54"/>
      <c r="D347" s="54"/>
      <c r="E347" s="58"/>
    </row>
    <row r="348" spans="1:5">
      <c r="A348" s="54"/>
      <c r="B348" s="54"/>
      <c r="C348" s="54"/>
      <c r="D348" s="54"/>
      <c r="E348" s="58"/>
    </row>
    <row r="349" spans="1:5">
      <c r="A349" s="54"/>
      <c r="B349" s="54"/>
      <c r="C349" s="54"/>
      <c r="D349" s="54"/>
      <c r="E349" s="58"/>
    </row>
    <row r="350" spans="1:5">
      <c r="A350" s="54"/>
      <c r="B350" s="54"/>
      <c r="C350" s="54"/>
      <c r="D350" s="54"/>
      <c r="E350" s="58"/>
    </row>
    <row r="351" spans="1:5">
      <c r="A351" s="54"/>
      <c r="B351" s="54"/>
      <c r="C351" s="54"/>
      <c r="D351" s="54"/>
      <c r="E351" s="58"/>
    </row>
    <row r="352" spans="1:5">
      <c r="A352" s="54"/>
      <c r="B352" s="54"/>
      <c r="C352" s="54"/>
      <c r="D352" s="54"/>
      <c r="E352" s="58"/>
    </row>
    <row r="353" spans="1:5">
      <c r="A353" s="54"/>
      <c r="B353" s="54"/>
      <c r="C353" s="54"/>
      <c r="D353" s="54"/>
      <c r="E353" s="58"/>
    </row>
    <row r="354" spans="1:5">
      <c r="A354" s="54"/>
      <c r="B354" s="54"/>
      <c r="C354" s="54"/>
      <c r="D354" s="54"/>
      <c r="E354" s="58"/>
    </row>
    <row r="355" spans="1:5">
      <c r="A355" s="54"/>
      <c r="B355" s="54"/>
      <c r="C355" s="54"/>
      <c r="D355" s="54"/>
      <c r="E355" s="58"/>
    </row>
    <row r="356" spans="1:5">
      <c r="A356" s="54"/>
      <c r="B356" s="54"/>
      <c r="C356" s="54"/>
      <c r="D356" s="54"/>
      <c r="E356" s="58"/>
    </row>
    <row r="357" spans="1:5">
      <c r="A357" s="54"/>
      <c r="B357" s="54"/>
      <c r="C357" s="54"/>
      <c r="D357" s="54"/>
      <c r="E357" s="58"/>
    </row>
    <row r="358" spans="1:5">
      <c r="A358" s="54"/>
      <c r="B358" s="54"/>
      <c r="C358" s="54"/>
      <c r="D358" s="54"/>
      <c r="E358" s="58"/>
    </row>
    <row r="359" spans="1:5">
      <c r="A359" s="54"/>
      <c r="B359" s="54"/>
      <c r="C359" s="54"/>
      <c r="D359" s="54"/>
      <c r="E359" s="58"/>
    </row>
    <row r="360" spans="1:5">
      <c r="A360" s="54"/>
      <c r="B360" s="54"/>
      <c r="C360" s="54"/>
      <c r="D360" s="54"/>
      <c r="E360" s="58"/>
    </row>
    <row r="361" spans="1:5">
      <c r="A361" s="54"/>
      <c r="B361" s="54"/>
      <c r="C361" s="54"/>
      <c r="D361" s="54"/>
      <c r="E361" s="58"/>
    </row>
    <row r="362" spans="1:5">
      <c r="A362" s="54"/>
      <c r="B362" s="54"/>
      <c r="C362" s="54"/>
      <c r="D362" s="54"/>
      <c r="E362" s="58"/>
    </row>
    <row r="363" spans="1:5">
      <c r="A363" s="54"/>
      <c r="B363" s="54"/>
      <c r="C363" s="54"/>
      <c r="D363" s="54"/>
      <c r="E363" s="58"/>
    </row>
    <row r="364" spans="1:5">
      <c r="A364" s="54"/>
      <c r="B364" s="54"/>
      <c r="C364" s="54"/>
      <c r="D364" s="54"/>
      <c r="E364" s="58"/>
    </row>
    <row r="365" spans="1:5">
      <c r="A365" s="54"/>
      <c r="B365" s="54"/>
      <c r="C365" s="54"/>
      <c r="D365" s="54"/>
      <c r="E365" s="58"/>
    </row>
    <row r="366" spans="1:5">
      <c r="A366" s="54"/>
      <c r="B366" s="54"/>
      <c r="C366" s="54"/>
      <c r="D366" s="54"/>
      <c r="E366" s="58"/>
    </row>
    <row r="367" spans="1:5">
      <c r="A367" s="54"/>
      <c r="B367" s="54"/>
      <c r="C367" s="54"/>
      <c r="D367" s="54"/>
      <c r="E367" s="58"/>
    </row>
    <row r="368" spans="1:5">
      <c r="A368" s="54"/>
      <c r="B368" s="54"/>
      <c r="C368" s="54"/>
      <c r="D368" s="54"/>
      <c r="E368" s="58"/>
    </row>
    <row r="369" spans="1:5">
      <c r="A369" s="54"/>
      <c r="B369" s="54"/>
      <c r="C369" s="54"/>
      <c r="D369" s="54"/>
      <c r="E369" s="58"/>
    </row>
    <row r="370" spans="1:5">
      <c r="A370" s="54"/>
      <c r="B370" s="54"/>
      <c r="C370" s="54"/>
      <c r="D370" s="54"/>
      <c r="E370" s="58"/>
    </row>
    <row r="371" spans="1:5">
      <c r="A371" s="54"/>
      <c r="B371" s="54"/>
      <c r="C371" s="54"/>
      <c r="D371" s="54"/>
      <c r="E371" s="58"/>
    </row>
    <row r="372" spans="1:5">
      <c r="A372" s="54"/>
      <c r="B372" s="54"/>
      <c r="C372" s="54"/>
      <c r="D372" s="54"/>
      <c r="E372" s="58"/>
    </row>
    <row r="373" spans="1:5">
      <c r="A373" s="54"/>
      <c r="B373" s="54"/>
      <c r="C373" s="54"/>
      <c r="D373" s="54"/>
      <c r="E373" s="58"/>
    </row>
    <row r="374" spans="1:5">
      <c r="A374" s="54"/>
      <c r="B374" s="54"/>
      <c r="C374" s="54"/>
      <c r="D374" s="54"/>
      <c r="E374" s="58"/>
    </row>
    <row r="375" spans="1:5">
      <c r="A375" s="54"/>
      <c r="B375" s="54"/>
      <c r="C375" s="54"/>
      <c r="D375" s="54"/>
      <c r="E375" s="58"/>
    </row>
    <row r="376" spans="1:5">
      <c r="A376" s="54"/>
      <c r="B376" s="54"/>
      <c r="C376" s="54"/>
      <c r="D376" s="54"/>
      <c r="E376" s="58"/>
    </row>
    <row r="377" spans="1:5">
      <c r="A377" s="54"/>
      <c r="B377" s="54"/>
      <c r="C377" s="54"/>
      <c r="D377" s="54"/>
      <c r="E377" s="58"/>
    </row>
    <row r="378" spans="1:5">
      <c r="A378" s="54"/>
      <c r="B378" s="54"/>
      <c r="C378" s="54"/>
      <c r="D378" s="54"/>
      <c r="E378" s="58"/>
    </row>
    <row r="379" spans="1:5">
      <c r="A379" s="54"/>
      <c r="B379" s="54"/>
      <c r="C379" s="54"/>
      <c r="D379" s="54"/>
      <c r="E379" s="58"/>
    </row>
    <row r="380" spans="1:5">
      <c r="A380" s="54"/>
      <c r="B380" s="54"/>
      <c r="C380" s="54"/>
      <c r="D380" s="54"/>
      <c r="E380" s="58"/>
    </row>
    <row r="381" spans="1:5">
      <c r="A381" s="54"/>
      <c r="B381" s="54"/>
      <c r="C381" s="54"/>
      <c r="D381" s="54"/>
      <c r="E381" s="58"/>
    </row>
    <row r="382" spans="1:5">
      <c r="A382" s="54"/>
      <c r="B382" s="54"/>
      <c r="C382" s="54"/>
      <c r="D382" s="54"/>
      <c r="E382" s="58"/>
    </row>
    <row r="383" spans="1:5">
      <c r="A383" s="54"/>
      <c r="B383" s="54"/>
      <c r="C383" s="54"/>
      <c r="D383" s="54"/>
      <c r="E383" s="58"/>
    </row>
    <row r="384" spans="1:5">
      <c r="A384" s="54"/>
      <c r="B384" s="54"/>
      <c r="C384" s="54"/>
      <c r="D384" s="54"/>
      <c r="E384" s="58"/>
    </row>
    <row r="385" spans="1:5">
      <c r="A385" s="54"/>
      <c r="B385" s="54"/>
      <c r="C385" s="54"/>
      <c r="D385" s="54"/>
      <c r="E385" s="58"/>
    </row>
    <row r="386" spans="1:5">
      <c r="A386" s="54"/>
      <c r="B386" s="54"/>
      <c r="C386" s="54"/>
      <c r="D386" s="54"/>
      <c r="E386" s="58"/>
    </row>
    <row r="387" spans="1:5">
      <c r="A387" s="54"/>
      <c r="B387" s="54"/>
      <c r="C387" s="54"/>
      <c r="D387" s="54"/>
      <c r="E387" s="58"/>
    </row>
    <row r="388" spans="1:5">
      <c r="A388" s="54"/>
      <c r="B388" s="54"/>
      <c r="C388" s="54"/>
      <c r="D388" s="54"/>
      <c r="E388" s="58"/>
    </row>
    <row r="389" spans="1:5">
      <c r="A389" s="54"/>
      <c r="B389" s="54"/>
      <c r="C389" s="54"/>
      <c r="D389" s="54"/>
      <c r="E389" s="58"/>
    </row>
    <row r="390" spans="1:5">
      <c r="A390" s="54"/>
      <c r="B390" s="54"/>
      <c r="C390" s="54"/>
      <c r="D390" s="54"/>
      <c r="E390" s="58"/>
    </row>
    <row r="391" spans="1:5">
      <c r="A391" s="54"/>
      <c r="B391" s="54"/>
      <c r="C391" s="54"/>
      <c r="D391" s="54"/>
      <c r="E391" s="58"/>
    </row>
    <row r="392" spans="1:5">
      <c r="A392" s="54"/>
      <c r="B392" s="54"/>
      <c r="C392" s="54"/>
      <c r="D392" s="54"/>
      <c r="E392" s="58"/>
    </row>
    <row r="393" spans="1:5">
      <c r="A393" s="54"/>
      <c r="B393" s="54"/>
      <c r="C393" s="54"/>
      <c r="D393" s="54"/>
      <c r="E393" s="58"/>
    </row>
    <row r="394" spans="1:5">
      <c r="A394" s="54"/>
      <c r="B394" s="54"/>
      <c r="C394" s="54"/>
      <c r="D394" s="54"/>
      <c r="E394" s="58"/>
    </row>
    <row r="395" spans="1:5">
      <c r="A395" s="54"/>
      <c r="B395" s="54"/>
      <c r="C395" s="54"/>
      <c r="D395" s="54"/>
      <c r="E395" s="58"/>
    </row>
    <row r="396" spans="1:5">
      <c r="A396" s="54"/>
      <c r="B396" s="54"/>
      <c r="C396" s="54"/>
      <c r="D396" s="54"/>
      <c r="E396" s="58"/>
    </row>
    <row r="397" spans="1:5">
      <c r="A397" s="54"/>
      <c r="B397" s="54"/>
      <c r="C397" s="54"/>
      <c r="D397" s="54"/>
      <c r="E397" s="58"/>
    </row>
    <row r="398" spans="1:5">
      <c r="A398" s="54"/>
      <c r="B398" s="54"/>
      <c r="C398" s="54"/>
      <c r="D398" s="54"/>
      <c r="E398" s="58"/>
    </row>
    <row r="399" spans="1:5">
      <c r="A399" s="54"/>
      <c r="B399" s="54"/>
      <c r="C399" s="54"/>
      <c r="D399" s="54"/>
      <c r="E399" s="58"/>
    </row>
    <row r="400" spans="1:5">
      <c r="A400" s="54"/>
      <c r="B400" s="54"/>
      <c r="C400" s="54"/>
      <c r="D400" s="54"/>
      <c r="E400" s="58"/>
    </row>
    <row r="401" spans="1:5">
      <c r="A401" s="54"/>
      <c r="B401" s="54"/>
      <c r="C401" s="54"/>
      <c r="D401" s="54"/>
      <c r="E401" s="58"/>
    </row>
    <row r="402" spans="1:5">
      <c r="A402" s="54"/>
      <c r="B402" s="54"/>
      <c r="C402" s="54"/>
      <c r="D402" s="54"/>
      <c r="E402" s="58"/>
    </row>
    <row r="403" spans="1:5">
      <c r="A403" s="54"/>
      <c r="B403" s="54"/>
      <c r="C403" s="54"/>
      <c r="D403" s="54"/>
      <c r="E403" s="58"/>
    </row>
    <row r="404" spans="1:5">
      <c r="A404" s="54"/>
      <c r="B404" s="54"/>
      <c r="C404" s="54"/>
      <c r="D404" s="54"/>
      <c r="E404" s="58"/>
    </row>
    <row r="405" spans="1:5">
      <c r="A405" s="54"/>
      <c r="B405" s="54"/>
      <c r="C405" s="54"/>
      <c r="D405" s="54"/>
      <c r="E405" s="58"/>
    </row>
    <row r="406" spans="1:5">
      <c r="A406" s="54"/>
      <c r="B406" s="54"/>
      <c r="C406" s="54"/>
      <c r="D406" s="54"/>
      <c r="E406" s="58"/>
    </row>
    <row r="407" spans="1:5">
      <c r="A407" s="54"/>
      <c r="B407" s="54"/>
      <c r="C407" s="54"/>
      <c r="D407" s="54"/>
      <c r="E407" s="58"/>
    </row>
    <row r="408" spans="1:5">
      <c r="A408" s="54"/>
      <c r="B408" s="54"/>
      <c r="C408" s="54"/>
      <c r="D408" s="54"/>
      <c r="E408" s="58"/>
    </row>
    <row r="409" spans="1:5">
      <c r="A409" s="54"/>
      <c r="B409" s="54"/>
      <c r="C409" s="54"/>
      <c r="D409" s="54"/>
      <c r="E409" s="58"/>
    </row>
    <row r="410" spans="1:5">
      <c r="A410" s="54"/>
      <c r="B410" s="54"/>
      <c r="C410" s="54"/>
      <c r="D410" s="54"/>
      <c r="E410" s="58"/>
    </row>
    <row r="411" spans="1:5">
      <c r="A411" s="54"/>
      <c r="B411" s="54"/>
      <c r="C411" s="54"/>
      <c r="D411" s="54"/>
      <c r="E411" s="58"/>
    </row>
    <row r="412" spans="1:5">
      <c r="A412" s="54"/>
      <c r="B412" s="54"/>
      <c r="C412" s="54"/>
      <c r="D412" s="54"/>
      <c r="E412" s="58"/>
    </row>
    <row r="413" spans="1:5">
      <c r="A413" s="54"/>
      <c r="B413" s="54"/>
      <c r="C413" s="54"/>
      <c r="D413" s="54"/>
      <c r="E413" s="58"/>
    </row>
    <row r="414" spans="1:5">
      <c r="A414" s="54"/>
      <c r="B414" s="54"/>
      <c r="C414" s="54"/>
      <c r="D414" s="54"/>
      <c r="E414" s="58"/>
    </row>
    <row r="415" spans="1:5">
      <c r="A415" s="54"/>
      <c r="B415" s="54"/>
      <c r="C415" s="54"/>
      <c r="D415" s="54"/>
      <c r="E415" s="58"/>
    </row>
    <row r="416" spans="1:5">
      <c r="A416" s="54"/>
      <c r="B416" s="54"/>
      <c r="C416" s="54"/>
      <c r="D416" s="54"/>
      <c r="E416" s="58"/>
    </row>
    <row r="417" spans="1:5">
      <c r="A417" s="54"/>
      <c r="B417" s="54"/>
      <c r="C417" s="54"/>
      <c r="D417" s="54"/>
      <c r="E417" s="58"/>
    </row>
    <row r="418" spans="1:5">
      <c r="A418" s="54"/>
      <c r="B418" s="54"/>
      <c r="C418" s="54"/>
      <c r="D418" s="54"/>
      <c r="E418" s="58"/>
    </row>
    <row r="419" spans="1:5">
      <c r="A419" s="54"/>
      <c r="B419" s="54"/>
      <c r="C419" s="54"/>
      <c r="D419" s="54"/>
      <c r="E419" s="58"/>
    </row>
    <row r="420" spans="1:5">
      <c r="A420" s="54"/>
      <c r="B420" s="54"/>
      <c r="C420" s="54"/>
      <c r="D420" s="54"/>
      <c r="E420" s="58"/>
    </row>
    <row r="421" spans="1:5">
      <c r="A421" s="54"/>
      <c r="B421" s="54"/>
      <c r="C421" s="54"/>
      <c r="D421" s="54"/>
      <c r="E421" s="58"/>
    </row>
    <row r="422" spans="1:5">
      <c r="A422" s="54"/>
      <c r="B422" s="54"/>
      <c r="C422" s="54"/>
      <c r="D422" s="54"/>
      <c r="E422" s="58"/>
    </row>
    <row r="423" spans="1:5">
      <c r="A423" s="54"/>
      <c r="B423" s="54"/>
      <c r="C423" s="54"/>
      <c r="D423" s="54"/>
      <c r="E423" s="58"/>
    </row>
    <row r="424" spans="1:5">
      <c r="A424" s="54"/>
      <c r="B424" s="54"/>
      <c r="C424" s="54"/>
      <c r="D424" s="54"/>
      <c r="E424" s="58"/>
    </row>
    <row r="425" spans="1:5">
      <c r="A425" s="54"/>
      <c r="B425" s="54"/>
      <c r="C425" s="54"/>
      <c r="D425" s="54"/>
      <c r="E425" s="58"/>
    </row>
    <row r="426" spans="1:5">
      <c r="A426" s="54"/>
      <c r="B426" s="54"/>
      <c r="C426" s="54"/>
      <c r="D426" s="54"/>
      <c r="E426" s="58"/>
    </row>
    <row r="427" spans="1:5">
      <c r="A427" s="54"/>
      <c r="B427" s="54"/>
      <c r="C427" s="54"/>
      <c r="D427" s="54"/>
      <c r="E427" s="58"/>
    </row>
    <row r="428" spans="1:5">
      <c r="A428" s="54"/>
      <c r="B428" s="54"/>
      <c r="C428" s="54"/>
      <c r="D428" s="54"/>
      <c r="E428" s="58"/>
    </row>
    <row r="429" spans="1:5">
      <c r="A429" s="54"/>
      <c r="B429" s="54"/>
      <c r="C429" s="54"/>
      <c r="D429" s="54"/>
      <c r="E429" s="58"/>
    </row>
    <row r="430" spans="1:5">
      <c r="A430" s="54"/>
      <c r="B430" s="54"/>
      <c r="C430" s="54"/>
      <c r="D430" s="54"/>
      <c r="E430" s="58"/>
    </row>
    <row r="431" spans="1:5">
      <c r="A431" s="54"/>
      <c r="B431" s="54"/>
      <c r="C431" s="54"/>
      <c r="D431" s="54"/>
      <c r="E431" s="58"/>
    </row>
    <row r="432" spans="1:5">
      <c r="A432" s="54"/>
      <c r="B432" s="54"/>
      <c r="C432" s="54"/>
      <c r="D432" s="54"/>
      <c r="E432" s="58"/>
    </row>
    <row r="433" spans="1:5">
      <c r="A433" s="54"/>
      <c r="B433" s="54"/>
      <c r="C433" s="54"/>
      <c r="D433" s="54"/>
      <c r="E433" s="58"/>
    </row>
    <row r="434" spans="1:5">
      <c r="A434" s="54"/>
      <c r="B434" s="54"/>
      <c r="C434" s="54"/>
      <c r="D434" s="54"/>
      <c r="E434" s="58"/>
    </row>
    <row r="435" spans="1:5">
      <c r="A435" s="54"/>
      <c r="B435" s="54"/>
      <c r="C435" s="54"/>
      <c r="D435" s="54"/>
      <c r="E435" s="58"/>
    </row>
    <row r="436" spans="1:5">
      <c r="A436" s="54"/>
      <c r="B436" s="54"/>
      <c r="C436" s="54"/>
      <c r="D436" s="54"/>
      <c r="E436" s="58"/>
    </row>
    <row r="437" spans="1:5">
      <c r="A437" s="54"/>
      <c r="B437" s="54"/>
      <c r="C437" s="54"/>
      <c r="D437" s="54"/>
      <c r="E437" s="58"/>
    </row>
    <row r="438" spans="1:5">
      <c r="A438" s="54"/>
      <c r="B438" s="54"/>
      <c r="C438" s="54"/>
      <c r="D438" s="54"/>
      <c r="E438" s="58"/>
    </row>
    <row r="439" spans="1:5">
      <c r="A439" s="54"/>
      <c r="B439" s="54"/>
      <c r="C439" s="54"/>
      <c r="D439" s="54"/>
      <c r="E439" s="58"/>
    </row>
    <row r="440" spans="1:5">
      <c r="A440" s="54"/>
      <c r="B440" s="54"/>
      <c r="C440" s="54"/>
      <c r="D440" s="54"/>
      <c r="E440" s="58"/>
    </row>
    <row r="441" spans="1:5">
      <c r="A441" s="54"/>
      <c r="B441" s="54"/>
      <c r="C441" s="54"/>
      <c r="D441" s="54"/>
      <c r="E441" s="58"/>
    </row>
    <row r="442" spans="1:5">
      <c r="A442" s="54"/>
      <c r="B442" s="54"/>
      <c r="C442" s="54"/>
      <c r="D442" s="54"/>
      <c r="E442" s="58"/>
    </row>
    <row r="443" spans="1:5">
      <c r="A443" s="54"/>
      <c r="B443" s="54"/>
      <c r="C443" s="54"/>
      <c r="D443" s="54"/>
      <c r="E443" s="58"/>
    </row>
    <row r="444" spans="1:5">
      <c r="A444" s="54"/>
      <c r="B444" s="54"/>
      <c r="C444" s="54"/>
      <c r="D444" s="54"/>
      <c r="E444" s="58"/>
    </row>
    <row r="445" spans="1:5">
      <c r="A445" s="54"/>
      <c r="B445" s="54"/>
      <c r="C445" s="54"/>
      <c r="D445" s="54"/>
      <c r="E445" s="58"/>
    </row>
    <row r="446" spans="1:5">
      <c r="A446" s="54"/>
      <c r="B446" s="54"/>
      <c r="C446" s="54"/>
      <c r="D446" s="54"/>
      <c r="E446" s="58"/>
    </row>
    <row r="447" spans="1:5">
      <c r="A447" s="54"/>
      <c r="B447" s="54"/>
      <c r="C447" s="54"/>
      <c r="D447" s="54"/>
      <c r="E447" s="58"/>
    </row>
    <row r="448" spans="1:5">
      <c r="A448" s="54"/>
      <c r="B448" s="54"/>
      <c r="C448" s="54"/>
      <c r="D448" s="54"/>
      <c r="E448" s="58"/>
    </row>
    <row r="449" spans="1:5">
      <c r="A449" s="54"/>
      <c r="B449" s="54"/>
      <c r="C449" s="54"/>
      <c r="D449" s="54"/>
      <c r="E449" s="58"/>
    </row>
    <row r="450" spans="1:5">
      <c r="A450" s="54"/>
      <c r="B450" s="54"/>
      <c r="C450" s="54"/>
      <c r="D450" s="54"/>
      <c r="E450" s="58"/>
    </row>
    <row r="451" spans="1:5">
      <c r="A451" s="54"/>
      <c r="B451" s="54"/>
      <c r="C451" s="54"/>
      <c r="D451" s="54"/>
      <c r="E451" s="58"/>
    </row>
    <row r="452" spans="1:5">
      <c r="A452" s="54"/>
      <c r="B452" s="54"/>
      <c r="C452" s="54"/>
      <c r="D452" s="54"/>
      <c r="E452" s="58"/>
    </row>
    <row r="453" spans="1:5">
      <c r="A453" s="54"/>
      <c r="B453" s="54"/>
      <c r="C453" s="54"/>
      <c r="D453" s="54"/>
      <c r="E453" s="58"/>
    </row>
    <row r="454" spans="1:5">
      <c r="A454" s="54"/>
      <c r="B454" s="54"/>
      <c r="C454" s="54"/>
      <c r="D454" s="54"/>
      <c r="E454" s="58"/>
    </row>
    <row r="455" spans="1:5">
      <c r="A455" s="54"/>
      <c r="B455" s="54"/>
      <c r="C455" s="54"/>
      <c r="D455" s="54"/>
      <c r="E455" s="58"/>
    </row>
    <row r="456" spans="1:5">
      <c r="A456" s="54"/>
      <c r="B456" s="54"/>
      <c r="C456" s="54"/>
      <c r="D456" s="54"/>
      <c r="E456" s="58"/>
    </row>
    <row r="457" spans="1:5">
      <c r="A457" s="54"/>
      <c r="B457" s="54"/>
      <c r="C457" s="54"/>
      <c r="D457" s="54"/>
      <c r="E457" s="58"/>
    </row>
    <row r="458" spans="1:5">
      <c r="A458" s="54"/>
      <c r="B458" s="54"/>
      <c r="C458" s="54"/>
      <c r="D458" s="54"/>
      <c r="E458" s="58"/>
    </row>
    <row r="459" spans="1:5">
      <c r="A459" s="54"/>
      <c r="B459" s="54"/>
      <c r="C459" s="54"/>
      <c r="D459" s="54"/>
      <c r="E459" s="58"/>
    </row>
    <row r="460" spans="1:5">
      <c r="A460" s="54"/>
      <c r="B460" s="54"/>
      <c r="C460" s="54"/>
      <c r="D460" s="54"/>
      <c r="E460" s="58"/>
    </row>
    <row r="461" spans="1:5">
      <c r="A461" s="54"/>
      <c r="B461" s="54"/>
      <c r="C461" s="54"/>
      <c r="D461" s="54"/>
      <c r="E461" s="58"/>
    </row>
    <row r="462" spans="1:5">
      <c r="A462" s="54"/>
      <c r="B462" s="54"/>
      <c r="C462" s="54"/>
      <c r="D462" s="54"/>
      <c r="E462" s="58"/>
    </row>
    <row r="463" spans="1:5">
      <c r="A463" s="54"/>
      <c r="B463" s="54"/>
      <c r="C463" s="54"/>
      <c r="D463" s="54"/>
      <c r="E463" s="58"/>
    </row>
    <row r="464" spans="1:5">
      <c r="A464" s="54"/>
      <c r="B464" s="54"/>
      <c r="C464" s="54"/>
      <c r="D464" s="54"/>
      <c r="E464" s="58"/>
    </row>
    <row r="465" spans="1:5">
      <c r="A465" s="54"/>
      <c r="B465" s="54"/>
      <c r="C465" s="54"/>
      <c r="D465" s="54"/>
      <c r="E465" s="58"/>
    </row>
    <row r="466" spans="1:5">
      <c r="A466" s="54"/>
      <c r="B466" s="54"/>
      <c r="C466" s="54"/>
      <c r="D466" s="54"/>
      <c r="E466" s="58"/>
    </row>
    <row r="467" spans="1:5">
      <c r="A467" s="54"/>
      <c r="B467" s="54"/>
      <c r="C467" s="54"/>
      <c r="D467" s="54"/>
      <c r="E467" s="58"/>
    </row>
    <row r="468" spans="1:5">
      <c r="A468" s="54"/>
      <c r="B468" s="54"/>
      <c r="C468" s="54"/>
      <c r="D468" s="54"/>
      <c r="E468" s="58"/>
    </row>
    <row r="469" spans="1:5">
      <c r="A469" s="54"/>
      <c r="B469" s="54"/>
      <c r="C469" s="54"/>
      <c r="D469" s="54"/>
      <c r="E469" s="58"/>
    </row>
    <row r="470" spans="1:5">
      <c r="A470" s="54"/>
      <c r="B470" s="54"/>
      <c r="C470" s="54"/>
      <c r="D470" s="54"/>
      <c r="E470" s="58"/>
    </row>
    <row r="471" spans="1:5">
      <c r="A471" s="54"/>
      <c r="B471" s="54"/>
      <c r="C471" s="54"/>
      <c r="D471" s="54"/>
      <c r="E471" s="58"/>
    </row>
    <row r="472" spans="1:5">
      <c r="A472" s="54"/>
      <c r="B472" s="54"/>
      <c r="C472" s="54"/>
      <c r="D472" s="54"/>
      <c r="E472" s="58"/>
    </row>
    <row r="473" spans="1:5">
      <c r="A473" s="54"/>
      <c r="B473" s="54"/>
      <c r="C473" s="54"/>
      <c r="D473" s="54"/>
      <c r="E473" s="58"/>
    </row>
    <row r="474" spans="1:5">
      <c r="A474" s="54"/>
      <c r="B474" s="54"/>
      <c r="C474" s="54"/>
      <c r="D474" s="54"/>
      <c r="E474" s="58"/>
    </row>
    <row r="475" spans="1:5">
      <c r="A475" s="54"/>
      <c r="B475" s="54"/>
      <c r="C475" s="54"/>
      <c r="D475" s="54"/>
      <c r="E475" s="58"/>
    </row>
    <row r="476" spans="1:5">
      <c r="A476" s="54"/>
      <c r="B476" s="54"/>
      <c r="C476" s="54"/>
      <c r="D476" s="54"/>
      <c r="E476" s="58"/>
    </row>
    <row r="477" spans="1:5">
      <c r="A477" s="54"/>
      <c r="B477" s="54"/>
      <c r="C477" s="54"/>
      <c r="D477" s="54"/>
      <c r="E477" s="58"/>
    </row>
    <row r="478" spans="1:5">
      <c r="A478" s="54"/>
      <c r="B478" s="54"/>
      <c r="C478" s="54"/>
      <c r="D478" s="54"/>
      <c r="E478" s="58"/>
    </row>
    <row r="479" spans="1:5">
      <c r="A479" s="54"/>
      <c r="B479" s="54"/>
      <c r="C479" s="54"/>
      <c r="D479" s="54"/>
      <c r="E479" s="58"/>
    </row>
    <row r="480" spans="1:5">
      <c r="A480" s="54"/>
      <c r="B480" s="54"/>
      <c r="C480" s="54"/>
      <c r="D480" s="54"/>
      <c r="E480" s="58"/>
    </row>
    <row r="481" spans="1:5">
      <c r="A481" s="54"/>
      <c r="B481" s="54"/>
      <c r="C481" s="54"/>
      <c r="D481" s="54"/>
      <c r="E481" s="58"/>
    </row>
    <row r="482" spans="1:5">
      <c r="A482" s="54"/>
      <c r="B482" s="54"/>
      <c r="C482" s="54"/>
      <c r="D482" s="54"/>
      <c r="E482" s="58"/>
    </row>
    <row r="483" spans="1:5">
      <c r="A483" s="54"/>
      <c r="B483" s="54"/>
      <c r="C483" s="54"/>
      <c r="D483" s="54"/>
      <c r="E483" s="58"/>
    </row>
    <row r="484" spans="1:5">
      <c r="A484" s="54"/>
      <c r="B484" s="54"/>
      <c r="C484" s="54"/>
      <c r="D484" s="54"/>
      <c r="E484" s="58"/>
    </row>
    <row r="485" spans="1:5">
      <c r="A485" s="54"/>
      <c r="B485" s="54"/>
      <c r="C485" s="54"/>
      <c r="D485" s="54"/>
      <c r="E485" s="58"/>
    </row>
    <row r="486" spans="1:5">
      <c r="A486" s="54"/>
      <c r="B486" s="54"/>
      <c r="C486" s="54"/>
      <c r="D486" s="54"/>
      <c r="E486" s="58"/>
    </row>
    <row r="487" spans="1:5">
      <c r="A487" s="54"/>
      <c r="B487" s="54"/>
      <c r="C487" s="54"/>
      <c r="D487" s="54"/>
      <c r="E487" s="58"/>
    </row>
    <row r="488" spans="1:5">
      <c r="A488" s="54"/>
      <c r="B488" s="54"/>
      <c r="C488" s="54"/>
      <c r="D488" s="54"/>
      <c r="E488" s="58"/>
    </row>
    <row r="489" spans="1:5">
      <c r="A489" s="54"/>
      <c r="B489" s="54"/>
      <c r="C489" s="54"/>
      <c r="D489" s="54"/>
      <c r="E489" s="58"/>
    </row>
    <row r="490" spans="1:5">
      <c r="A490" s="54"/>
      <c r="B490" s="54"/>
      <c r="C490" s="54"/>
      <c r="D490" s="54"/>
      <c r="E490" s="58"/>
    </row>
    <row r="491" spans="1:5">
      <c r="A491" s="54"/>
      <c r="B491" s="54"/>
      <c r="C491" s="54"/>
      <c r="D491" s="54"/>
      <c r="E491" s="58"/>
    </row>
    <row r="492" spans="1:5">
      <c r="A492" s="54"/>
      <c r="B492" s="54"/>
      <c r="C492" s="54"/>
      <c r="D492" s="54"/>
      <c r="E492" s="58"/>
    </row>
    <row r="493" spans="1:5">
      <c r="A493" s="54"/>
      <c r="B493" s="54"/>
      <c r="C493" s="54"/>
      <c r="D493" s="54"/>
      <c r="E493" s="58"/>
    </row>
    <row r="494" spans="1:5">
      <c r="A494" s="54"/>
      <c r="B494" s="54"/>
      <c r="C494" s="54"/>
      <c r="D494" s="54"/>
      <c r="E494" s="58"/>
    </row>
    <row r="495" spans="1:5">
      <c r="A495" s="54"/>
      <c r="B495" s="54"/>
      <c r="C495" s="54"/>
      <c r="D495" s="54"/>
      <c r="E495" s="58"/>
    </row>
    <row r="496" spans="1:5">
      <c r="A496" s="54"/>
      <c r="B496" s="54"/>
      <c r="C496" s="54"/>
      <c r="D496" s="54"/>
      <c r="E496" s="58"/>
    </row>
    <row r="497" spans="1:5">
      <c r="A497" s="54"/>
      <c r="B497" s="54"/>
      <c r="C497" s="54"/>
      <c r="D497" s="54"/>
      <c r="E497" s="58"/>
    </row>
    <row r="498" spans="1:5">
      <c r="A498" s="54"/>
      <c r="B498" s="54"/>
      <c r="C498" s="54"/>
      <c r="D498" s="54"/>
      <c r="E498" s="58"/>
    </row>
    <row r="499" spans="1:5">
      <c r="A499" s="54"/>
      <c r="B499" s="54"/>
      <c r="C499" s="54"/>
      <c r="D499" s="54"/>
      <c r="E499" s="58"/>
    </row>
    <row r="500" spans="1:5">
      <c r="A500" s="54"/>
      <c r="B500" s="54"/>
      <c r="C500" s="54"/>
      <c r="D500" s="54"/>
      <c r="E500" s="58"/>
    </row>
    <row r="501" spans="1:5">
      <c r="A501" s="54"/>
      <c r="B501" s="54"/>
      <c r="C501" s="54"/>
      <c r="D501" s="54"/>
      <c r="E501" s="58"/>
    </row>
    <row r="502" spans="1:5">
      <c r="A502" s="54"/>
      <c r="B502" s="54"/>
      <c r="C502" s="54"/>
      <c r="D502" s="54"/>
      <c r="E502" s="58"/>
    </row>
    <row r="503" spans="1:5">
      <c r="A503" s="54"/>
      <c r="B503" s="54"/>
      <c r="C503" s="54"/>
      <c r="D503" s="54"/>
      <c r="E503" s="58"/>
    </row>
    <row r="504" spans="1:5">
      <c r="A504" s="55"/>
      <c r="B504" s="55"/>
      <c r="C504" s="55"/>
      <c r="D504" s="55"/>
      <c r="E504" s="59"/>
    </row>
  </sheetData>
  <mergeCells count="2">
    <mergeCell ref="A2:E2"/>
    <mergeCell ref="A3:E3"/>
  </mergeCells>
  <conditionalFormatting sqref="A5:A504">
    <cfRule type="containsText" dxfId="1" priority="1" operator="containsText" text="Error"/>
    <cfRule type="containsText" dxfId="0" priority="2" operator="containsText" text="Warning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A5A5A5"/>
  </sheetPr>
  <dimension ref="A1:BD1004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20" customWidth="1"/>
    <col min="2" max="2" width="22" customWidth="1"/>
    <col min="3" max="3" width="20" customWidth="1"/>
    <col min="4" max="4" width="12" customWidth="1"/>
    <col min="5" max="5" width="42" customWidth="1"/>
    <col min="6" max="6" width="52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323</v>
      </c>
      <c r="B2" s="63"/>
      <c r="C2" s="63"/>
      <c r="D2" s="63"/>
      <c r="E2" s="63"/>
      <c r="F2" s="6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64" t="s">
        <v>324</v>
      </c>
      <c r="B3" s="65"/>
      <c r="C3" s="65"/>
      <c r="D3" s="65"/>
      <c r="E3" s="65"/>
      <c r="F3" s="6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325</v>
      </c>
      <c r="B4" s="10" t="s">
        <v>326</v>
      </c>
      <c r="C4" s="10" t="s">
        <v>327</v>
      </c>
      <c r="D4" s="10" t="s">
        <v>328</v>
      </c>
      <c r="E4" s="10" t="s">
        <v>329</v>
      </c>
      <c r="F4" s="11" t="s">
        <v>330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60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60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60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60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60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60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60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60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60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60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60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60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60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60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60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60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60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60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60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60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60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60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60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60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60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60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6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60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60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60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60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60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60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60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60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60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60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60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60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60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60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60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60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60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60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60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60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60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60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60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60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60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60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60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60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60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60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60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60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60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60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60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60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60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60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60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60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60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60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60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60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60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60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60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60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60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60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60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60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60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60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60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60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60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60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60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60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60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60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60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60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60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60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60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60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60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60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60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60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60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60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60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60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60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60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60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60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60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60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60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60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60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60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60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60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60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60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60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60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60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60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60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60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60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60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60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60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60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60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60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60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60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60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60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60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60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60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60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60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60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60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60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60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60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60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60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60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60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60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60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60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60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60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60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60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60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60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60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60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60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60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60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60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60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60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60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60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60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60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60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60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60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60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60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60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60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60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60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60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60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60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60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60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60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60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60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60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60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60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60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60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60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60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60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60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60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60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60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60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60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60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60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60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60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60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60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60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60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60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60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60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60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60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60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60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60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60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60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60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60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60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60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60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60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60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60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60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60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60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60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60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60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60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60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60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60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60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60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60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60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60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60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60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60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60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60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>
      <c r="A251" s="61"/>
    </row>
    <row r="252" spans="1:56">
      <c r="A252" s="61"/>
    </row>
    <row r="253" spans="1:56">
      <c r="A253" s="61"/>
    </row>
    <row r="254" spans="1:56">
      <c r="A254" s="61"/>
    </row>
    <row r="255" spans="1:56">
      <c r="A255" s="61"/>
    </row>
    <row r="256" spans="1:56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  <row r="1001" spans="1:1">
      <c r="A1001" s="61"/>
    </row>
    <row r="1002" spans="1:1">
      <c r="A1002" s="61"/>
    </row>
    <row r="1003" spans="1:1">
      <c r="A1003" s="61"/>
    </row>
    <row r="1004" spans="1:1">
      <c r="A1004" s="61"/>
    </row>
  </sheetData>
  <mergeCells count="2">
    <mergeCell ref="A2:F2"/>
    <mergeCell ref="A3:F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BFBFBF"/>
  </sheetPr>
  <dimension ref="A1:BD250"/>
  <sheetViews>
    <sheetView showGridLines="0" workbookViewId="0"/>
  </sheetViews>
  <sheetFormatPr defaultRowHeight="14.25"/>
  <cols>
    <col min="1" max="4" width="20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62" t="s">
        <v>331</v>
      </c>
      <c r="B2" s="63"/>
      <c r="C2" s="63"/>
      <c r="D2" s="6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64" t="s">
        <v>332</v>
      </c>
      <c r="B3" s="65"/>
      <c r="C3" s="65"/>
      <c r="D3" s="65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130</v>
      </c>
      <c r="B4" s="10" t="s">
        <v>145</v>
      </c>
      <c r="C4" s="10" t="s">
        <v>333</v>
      </c>
      <c r="D4" s="11" t="s">
        <v>334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" t="s">
        <v>148</v>
      </c>
      <c r="B5" s="1" t="s">
        <v>156</v>
      </c>
      <c r="C5" s="1" t="s">
        <v>156</v>
      </c>
      <c r="D5" s="1" t="s">
        <v>256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1" t="s">
        <v>218</v>
      </c>
      <c r="B6" s="1" t="s">
        <v>335</v>
      </c>
      <c r="C6" s="1" t="s">
        <v>335</v>
      </c>
      <c r="D6" s="1" t="s">
        <v>257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" t="s">
        <v>336</v>
      </c>
      <c r="B7" s="1" t="s">
        <v>337</v>
      </c>
      <c r="C7" s="1" t="s">
        <v>337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1" t="s">
        <v>338</v>
      </c>
      <c r="B8" s="1" t="s">
        <v>165</v>
      </c>
      <c r="C8" s="1" t="s">
        <v>339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"/>
      <c r="B9" s="1" t="s">
        <v>339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D2"/>
    <mergeCell ref="A3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ReadMe</vt:lpstr>
      <vt:lpstr>CN-FR-DP</vt:lpstr>
      <vt:lpstr>Design Matrix</vt:lpstr>
      <vt:lpstr>Information</vt:lpstr>
      <vt:lpstr>Tree View</vt:lpstr>
      <vt:lpstr>Constraints</vt:lpstr>
      <vt:lpstr>Impact</vt:lpstr>
      <vt:lpstr>Checks</vt:lpstr>
      <vt:lpstr>Change Log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Thach Nguyen</cp:lastModifiedBy>
  <dcterms:modified xsi:type="dcterms:W3CDTF">2026-09-26T09:04:19Z</dcterms:modified>
</cp:coreProperties>
</file>